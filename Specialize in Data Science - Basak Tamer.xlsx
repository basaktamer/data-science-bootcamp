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basak/Desktop/Final/"/>
    </mc:Choice>
  </mc:AlternateContent>
  <xr:revisionPtr revIDLastSave="0" documentId="13_ncr:1_{66D1D6D7-D071-FB4F-83EF-F6A5283AB0DE}" xr6:coauthVersionLast="47" xr6:coauthVersionMax="47" xr10:uidLastSave="{00000000-0000-0000-0000-000000000000}"/>
  <bookViews>
    <workbookView xWindow="0" yWindow="500" windowWidth="28800" windowHeight="16300" xr2:uid="{2DCD6501-F6A0-1D43-BACA-7579F22AC60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I16" i="1" l="1"/>
  <c r="H16" i="1"/>
  <c r="D16" i="1"/>
  <c r="I15" i="1"/>
  <c r="H15" i="1"/>
  <c r="D15" i="1"/>
  <c r="I14" i="1"/>
  <c r="H14" i="1"/>
  <c r="D14" i="1"/>
  <c r="H10" i="1"/>
  <c r="D10" i="1"/>
  <c r="H9" i="1"/>
  <c r="D9" i="1"/>
  <c r="H8" i="1"/>
  <c r="D8" i="1"/>
  <c r="I4" i="1"/>
  <c r="H4" i="1"/>
  <c r="D4" i="1"/>
  <c r="I3" i="1"/>
  <c r="H3" i="1"/>
  <c r="D3" i="1"/>
  <c r="I18" i="1"/>
  <c r="H18" i="1"/>
  <c r="I19" i="1"/>
  <c r="H19" i="1"/>
  <c r="D19" i="1"/>
  <c r="D18" i="1"/>
  <c r="H17" i="1"/>
  <c r="I17" i="1"/>
  <c r="D17" i="1"/>
  <c r="I2" i="1"/>
  <c r="H2" i="1"/>
  <c r="D2" i="1"/>
  <c r="I7" i="1"/>
  <c r="H7" i="1"/>
  <c r="D7" i="1"/>
  <c r="H5" i="1"/>
  <c r="I6" i="1"/>
  <c r="H6" i="1"/>
  <c r="D6" i="1"/>
  <c r="D5" i="1"/>
  <c r="H13" i="1"/>
  <c r="I13" i="1"/>
  <c r="D13" i="1"/>
  <c r="H12" i="1"/>
  <c r="H11" i="1"/>
  <c r="H20" i="1"/>
  <c r="H22" i="1"/>
  <c r="H21" i="1"/>
  <c r="D12" i="1"/>
  <c r="D11" i="1"/>
  <c r="D22" i="1"/>
  <c r="D21" i="1"/>
  <c r="I20" i="1"/>
  <c r="D20" i="1"/>
</calcChain>
</file>

<file path=xl/sharedStrings.xml><?xml version="1.0" encoding="utf-8"?>
<sst xmlns="http://schemas.openxmlformats.org/spreadsheetml/2006/main" count="211" uniqueCount="192">
  <si>
    <t>Project ID</t>
  </si>
  <si>
    <t>Category</t>
  </si>
  <si>
    <t>Core Algorithm</t>
  </si>
  <si>
    <t>Key Metric</t>
  </si>
  <si>
    <t>Dataset Source</t>
  </si>
  <si>
    <t>Hugging Face Link</t>
  </si>
  <si>
    <t>GitHub Link</t>
  </si>
  <si>
    <t>Business Insight</t>
  </si>
  <si>
    <t>DS-01</t>
  </si>
  <si>
    <t>DS-02</t>
  </si>
  <si>
    <t>DS-04</t>
  </si>
  <si>
    <t>DS-05</t>
  </si>
  <si>
    <t>DS-06</t>
  </si>
  <si>
    <t>DS-07</t>
  </si>
  <si>
    <t>DS-10</t>
  </si>
  <si>
    <t>DS-11</t>
  </si>
  <si>
    <t>DS-12</t>
  </si>
  <si>
    <t>DS-16</t>
  </si>
  <si>
    <t>DS-17</t>
  </si>
  <si>
    <t>DS-18</t>
  </si>
  <si>
    <t>DS-19</t>
  </si>
  <si>
    <t>DS-20</t>
  </si>
  <si>
    <t>DS-21</t>
  </si>
  <si>
    <t>Classification</t>
  </si>
  <si>
    <t>Clustering</t>
  </si>
  <si>
    <t>Data Visualization</t>
  </si>
  <si>
    <t>Natural Language Processing (NLP)</t>
  </si>
  <si>
    <t>Recommendation Systems</t>
  </si>
  <si>
    <t>Regression</t>
  </si>
  <si>
    <t>Time Series</t>
  </si>
  <si>
    <t xml:space="preserve">Project Name </t>
  </si>
  <si>
    <t>Project Link</t>
  </si>
  <si>
    <t>Netflix Recommendation System using Python</t>
  </si>
  <si>
    <t>Solving Choice Paralysis: By providing "Semantic Recommendations," the engine helps users find relevant content faster, directly increasing User Retention and Watch Time.
Data Portability: This Excel export provides a "Single Source of Truth" for cross-functional teams (Marketing/Content Strategy) to analyze the library without needing technical coding skills.
Scalability: The architecture of this data is "AI-Ready," perfectly structured for future integration into AWS Agentic Workflows or conversational RAG (Retrieval-Augmented Generation) systems.</t>
  </si>
  <si>
    <t>Data Integrity: Achieved a 100% completion rate (Zero Nulls) for all 5,184 records across IMDb scores, genres, and descriptions.
Feature Density: Successfully mapped 14,408 unique text features, ensuring high granularity in the recommendation "brain."
Dataset Quality: Removed ~700 "Ghost Rows" (entries with missing critical metadata) to ensure a high-quality user experience.</t>
  </si>
  <si>
    <t>Vectorization Strategy: Processed 5,184 movie descriptions into a mathematical feature space using TF-IDF (Term Frequency-Inverse Document Frequency).
Similarity Logic: Implemented Cosine Similarity to measure the "thematic distance" between titles.
The Benefit: This allows the system to recommend movies based on deep narrative similarities rather than just simple category matches.</t>
  </si>
  <si>
    <t>Kaggle Notebook Link (if it applies)</t>
  </si>
  <si>
    <t>Book Recommendation System</t>
  </si>
  <si>
    <t>https://amanxai.com/2021/01/17/book-recommendation-system/</t>
  </si>
  <si>
    <t>N/A</t>
  </si>
  <si>
    <t>Hybrid K-Nearest Neighbors (KNN)
Definition: A memory-based Collaborative Filtering approach that identifies "neighborhoods" of similar items.
Logic: The system utilizes a multi-dimensional feature space (6,662 features) combining One-Hot Encoded metadata (Author and Language) with statistical popularity.
Distance Metric: Employs a dual-weight system using Cosine Similarity for categorical metadata and Euclidean/Absolute Difference for popularity (Ratings Count).</t>
  </si>
  <si>
    <t>Mean Absolute Error (MAE); Score: 0.2927
Significance: This metric measures the average magnitude of errors between the predicted rating and the actual average rating.
Interpretation: An MAE of &lt; 0.3 on a 5-star scale indicates high predictive reliability. It confirms that the books identified as "neighbors" are not just random matches but are qualitatively similar enough to predict the target book's reception accurately.</t>
  </si>
  <si>
    <t>Balancing Niche vs. Mainstream
Discovery: The algorithm successfully avoids the "Cold Start" problem for popular titles by weighting the ratings_count.
Value Proposition: By linking authorship with popularity, the engine provides "Safe Recommendations"—suggesting books that a user is statistically likely to know and trust.
Scalability: The model demonstrates that even on hardware with limited resources (8GB RAM), high-dimensional KNN can provide real-time, low-latency recommendations for a library of 10,000+ titles without needing expensive GPU infrastructure.</t>
  </si>
  <si>
    <t>https://www.kaggle.com/datasets/satpreetmakhija/netflix-movies-and-tv-shows-2021</t>
  </si>
  <si>
    <t>Movie Recommendation System</t>
  </si>
  <si>
    <t>https://amanxai.com/2020/05/20/data-science-project-movie-recommendation-system/</t>
  </si>
  <si>
    <t>https://raw.githubusercontent.com/amankharwal/Website-data/master/tips.csv</t>
  </si>
  <si>
    <t>Waiter Tips Data Visualization</t>
  </si>
  <si>
    <t xml:space="preserve">Bivariate &amp; Multivariate Statistical EDA: I used correlation matrices and multi-dimensional plotting like Sunburst and 3D scatter. </t>
  </si>
  <si>
    <t>Tip Percentage (Tip % / Total Bill). This is the most important number because it standardizes the tip regardless of the bill size.</t>
  </si>
  <si>
    <t>Identifying "Peak Gratuity" windows (e.g., “Sunday dinners with large groups yield the highest tip percentages”) helps restaurant managers schedule their best staff during high-earning shifts.</t>
  </si>
  <si>
    <t>Uber Trips Data Visualization</t>
  </si>
  <si>
    <t>https://amanxai.com/2021/04/21/uber-trips-analysis-using-python/</t>
  </si>
  <si>
    <t>The Insight: The "Double-Peak" Revenue Opportunity.
Analysis: While the data shows a 24-hour cycle, there is a non-linear growth in demand starting at 16:00. This "Evening Surge" is significantly more sustained than the "Morning Rush."
Strategic Recommendation: For a business owner, this indicates that driver shifts starting at 15:00 are more profitable than those starting at 06:00. Furthermore, the geographic clustering near JFK and LaGuardia suggests that "airport-to-city" routes remain the most consistent high-margin segments regardless of the time of day.</t>
  </si>
  <si>
    <t>Store Sales and Profit Data Visualization</t>
  </si>
  <si>
    <t>https://www.kaggle.com/datasets/vivek468/superstore-dataset-final/code</t>
  </si>
  <si>
    <t>Multivariate Data Aggregation and Hierarchical Grouping. The project uses Pandas GroupBy operations to consolidate 9,000+ transactions into category-level performance metrics, utilizing Pivot transformations to enable multi-dimensional visualization (Sunburst &amp; Treemap)</t>
  </si>
  <si>
    <t>Net Profit Margin &amp; Discount Sensitivity. While Total Sales was tracked, the primary focus was on Profit per Sub-Category and the Profit-to-Discount Ratio to identify where revenue was being lost to excessive price reductions.</t>
  </si>
  <si>
    <t>The 'Discount Trap' in the Furniture Category. Analysis revealed that Furniture (specifically Tables and Bookcases) generates high revenue but negative profit when discounts exceed 20%. Conversely, the Technology segment (Copiers) is the most 'Efficient Earner,' producing the highest profit-per-unit despite lower transaction volume.</t>
  </si>
  <si>
    <t>https://raw.githubusercontent.com/amankharwal/Fremont-Bridge-Bicycle-Counts/master/fremont-bridge.csv</t>
  </si>
  <si>
    <t>New York City Bicycle Counts Time Series</t>
  </si>
  <si>
    <t>Bimodal Commuter Pattern Optimization
The model identified a consistent bimodal traffic distribution, with primary volume spikes at 8:00 AM and 5:00 PM on weekdays. This insight suggests that bridge maintenance and safety patrols should be scheduled during the "midday lull" (11:00 AM – 2:00 PM) to minimize economic disruption and maximize cyclist safety. Furthermore, the 7-day forecast allows for proactive resource allocation during predicted high-volume weekends.</t>
  </si>
  <si>
    <t>AIC (Akaike Information Criterion) &amp; MAE (Mean Absolute Error)
AIC was used as the primary metric for model selection, where a lower score indicated a superior balance between model complexity and predictive accuracy. MAE was utilized to measure the average physical deviation (in actual bicycle counts) between the forecast and observed sensor data, providing a clear "real-world" error margin for stakeholders.</t>
  </si>
  <si>
    <t>Seasonal AutoRegressive Integrated Moving Average with Exogenous factors (SARIMAX)
Specifically, a SARIMAX(1, 1, 1)(1, 1, 1)₂₄ model. This algorithm was selected to handle the non-stationary nature of traffic data, using a 24-hour seasonal lag to capture the daily "heartbeat" of commuter cycles and differencing to stabilize long-term trends.</t>
  </si>
  <si>
    <t>Tesla Stock Price Prediction Time Series</t>
  </si>
  <si>
    <t>Hybrid Time-Series Forecasting (SARIMA, Prophet, and LSTM)
We used a multi-model approach to validate results. SARIMA handles linear seasonality, Prophet handles business trends/holidays, and LSTM handles complex, high-dimensional sequences.</t>
  </si>
  <si>
    <t>RMSE (Root Mean Squared Error) &amp; MAPE (Mean Absolute Percentage Error)
In stock prediction, RMSE tells us the average dollar amount your prediction was off by. MAPE is even better since it tells us the error as a percentage (e.g., "The model is 95% accurate").</t>
  </si>
  <si>
    <t>Volatility Filtering for Long-term Momentum Identification
Description: The primary business value here isn't just "predicting the future price," but using the Decomposition Trend to tell investors to ignore the daily "noise" and focus on the 52-week momentum. It helps in deciding whether to "Hold" during a temporary dip based on historical seasonal patterns.</t>
  </si>
  <si>
    <t xml:space="preserve">Data was obtained from Phyton via yfinance module. </t>
  </si>
  <si>
    <t xml:space="preserve">Birth Rate Analysis Time Series </t>
  </si>
  <si>
    <t>https://github.com/amankharwal/Birthrate-Analysis/blob/master/births.csv</t>
  </si>
  <si>
    <t>Can you pls tell me what to write in Core Algorithm, Key Metric, Business Insight in Excel?</t>
  </si>
  <si>
    <t>Seasonal Decomposition (statsmodels) &amp; Time Series
RefinementI used  seasonal_decompose from the statsmodels library to isolate Trend, Seasonality, and Residuals. I also implemented Sigma-clipping as a statistical algorithm to identify and remove outliers from the historical dataset.</t>
  </si>
  <si>
    <t>Daily Birth Count &amp; Periodical Growth Rate
The primary variable I am measuring is the total number of births per day. Additionally, I am tracking the accuracy of seasonal peaks (identifying specific months like late summer vs. winter) and the percentage drop during the "Weekend Effect" (Saturday/Sunday vs. weekdays).</t>
  </si>
  <si>
    <t>By leveraging Time Series Forecasting (Prophet), we transform demographic noise into actionable intelligence. This analysis enables data-driven decisions in infrastructure scaling, labor force planning, and targeted market entry</t>
  </si>
  <si>
    <t xml:space="preserve">Clustering Music Genres </t>
  </si>
  <si>
    <t xml:space="preserve">Online Shopping Intention Analysis with Clustering </t>
  </si>
  <si>
    <t>https://www.kaggle.com/datasets/henrysue/online-shoppers-intention</t>
  </si>
  <si>
    <t>User Intent Segmentation
Explanation: By grouping sessions based on page durations (Administrative, Informational, and Product Related), we can distinguish between "Browsers" (those looking at general info) and "High-Intent Shoppers" (those spending significant time on product pages).
Actionable Result: This allows a business to target "High-Intent" users with specific discounts or "Browsers" with more educational content to encourage a purchase.</t>
  </si>
  <si>
    <t>https://amanxai.com/2022/04/05/clustering-music-genres-with-machine-learning/</t>
  </si>
  <si>
    <t>K-Means Clustering (Unsupervised Machine Learning)
The Explanation: The model was trained on a standardized feature set including Beats Per Minute (BPM), Energy, and Acousticness. Mention that the algorithm groups songs based on their mathematical 'closeness' in a 3D coordinate system, effectively finding natural segments in the music without needing pre-defined genre labels.</t>
  </si>
  <si>
    <t>Silhouette Score: 0.33 (Optimal Cluster Separation)-Success Metric
The Explanation: This score validates the quality of the clusters. I chose the 3-feature model over the 8-feature model because the Silhouette Score was significantly higher (0.33 vs. 0.21), proving that the simpler model provides more distinct and reliable music groupings.</t>
  </si>
  <si>
    <t>Auditory Physics as a Genre Predictor: The 'Physics' of a song (Tempo and Intensity) is a 45% more reliable indicator for automated grouping than 'Vibe' metrics (Valence or Liveness).
*Recommendation Engine: Suggest that the streaming platform should prioritize BPM and Energy for its "Next Song" algorithm to ensure smooth transitions between tracks.
*User Experience: By identifying these "Clouds" of music, the business can create automated "Smart Playlists" (e.g., "Deep Focus" or "High-Intensity Workout") even for new songs that don't have a genre label yet.
*Efficiency: The model proves that we can achieve better results using less data, which reduces computational costs for the recommendation system.</t>
  </si>
  <si>
    <t>Can you please help me to create Streamlit code (app.py), readme.md file (with meta data so we won't have configuration trouble), requirements.txt for Hugging Face Space?</t>
  </si>
  <si>
    <t xml:space="preserve">Credit Card Clustering </t>
  </si>
  <si>
    <t>https://www.kaggle.com/datasets/arjunbhasin2013/ccdata</t>
  </si>
  <si>
    <t>K-Means Clustering
This is an unsupervised machine learning algorithm used to group data points into a specified number of clusters based on their feature similarities. In this project, it was applied to segment credit card users into five distinct groups by identifying natural patterns in their financial behavior and usage history.</t>
  </si>
  <si>
    <t>K-Means Clustering
Explanation: An unsupervised machine learning algorithm that groups data points into *k* number of clusters based on their feature similarities. It works by minimizing the distance between data points and the center (centroid) of their assigned cluster.</t>
  </si>
  <si>
    <t>Within-Cluster Sum of Squares (WCSS)
WCSS measures the sum of squared distances between each data point and its assigned cluster centroid, representing how cohesive or "tight" the groups are. By using the Elbow Method to plot WCSS across different values of $k$, the optimal number of clusters was mathematically determined to ensure maximum intra-cluster similarity.</t>
  </si>
  <si>
    <t>Strategic Customer Profiling
By moving from individual IDs to behavioral segments, the bank can replace "one-size-fits-all" marketing with targeted strategies for different personas, such as high-volume spenders or low-balance users. These insights allow for more efficient resource allocation, identifying which customer groups are most likely to respond to premium offers or require risk management intervention.</t>
  </si>
  <si>
    <t>Flower Recognition</t>
  </si>
  <si>
    <t>https://www.kaggle.com/datasets/alxmamaev/flowers-recognition</t>
  </si>
  <si>
    <t xml:space="preserve">Classification/Computer Vision/Deep Learning </t>
  </si>
  <si>
    <t>Transfer Learning with MobileNetV2
The Logic: You utilized a pre-trained MobileNetV2 architecture as the feature extractor, which was originally trained on the ImageNet dataset.
The Customization: You added a custom classification head consisting of a GlobalAveragePooling2D layer, followed by a Dense layer (256 units) with Dropout (0.5) to prevent overfitting, and a final 5-unit output layer using the Softmax activation function.
Training Specs: The model was trained using the Adam optimizer with Sparse Categorical Crossentropy loss, incorporating an EarlyStopping callback to monitor validation loss.</t>
  </si>
  <si>
    <t>Validation Accuracy: ~92.1%
Primary Metric: While the training accuracy reached 95.68%, the validation accuracy of 92.1% is the most important metric as it reflects how the model performs on unseen data.
Benchmarking: This significantly exceeded the original project target of 85% accuracy.
Loss Curve: The validation loss remained stable and low, indicating that the use of Data Augmentation and Transfer Learning successfully mitigated the overfitting issues seen in the baseline CNN model.</t>
  </si>
  <si>
    <t>High-Efficiency Botanical Identification for Consumer Apps
Feasibility: The high accuracy (92%+) achieved using MobileNetV2—a model specifically designed for mobile and edge devices—proves that a lightweight botanical identification tool is viable for real-time mobile applications.
Commercial Use Case: This technology can be integrated into e-commerce (identifying flowers for purchase), gardening apps (plant care instructions), or environmental monitoring tools.
Scalability: The success of the "Transfer Learning" approach suggests that the system can be easily scaled to recognize hundreds of additional plant species with minimal additional training time, making it a cost-effective solution for large-scale agricultural or educational platforms.</t>
  </si>
  <si>
    <t>https://www.kaggle.com/datasets/uciml/iris</t>
  </si>
  <si>
    <t xml:space="preserve"> Iris Flower Classification</t>
  </si>
  <si>
    <t>Random Forest Classifier (Ensemble Learning)
Logic: I used a Random Forest because it builds multiple decision trees and merges them together to get a more accurate and stable prediction. It is particularly effective for this dataset because it can handle the non-linear boundaries between the Versicolor and Virginica species better than simpler models.</t>
  </si>
  <si>
    <t>100% Accuracy / 1.00 F1-ScoreLogic
While overall Accuracy is 100%, the F1-Score is the more important metric here. It proves that the model has a perfect balance of Precision and Recall, meaning it didn't "accidentally" misclassify the overlapping species despite the small test sample size ($n=23$).</t>
  </si>
  <si>
    <t>Automated Taxonomic Classification via Morphometrics
Logic: The model confirms that physical measurements—specifically Petal Length and Width—are definitive biological markers for species identification. In a real-world setting (like botany or agriculture), this algorithm could be deployed to an edge device or mobile app to allow non-experts to identify plant species instantly in the field, reducing the need for specialized laboratory analysis.</t>
  </si>
  <si>
    <t>Trip Advisor Hotel Reviews</t>
  </si>
  <si>
    <t>https://www.kaggle.com/datasets/andrewmvd/trip-advisor-hotel-reviews</t>
  </si>
  <si>
    <t>Artificial Neural Network (ANN) / Sequential Model
Technical Detail: A multi-layer deep learning architecture built with TensorFlow/Keras. It uses a GlobalAveragePooling1D or Flatten layer (depending on your specific code) to process text features vectorized via CountVectorizer and optimized with the Adam optimizer.</t>
  </si>
  <si>
    <t>98.22% Accuracy (Binary Classification)
Technical Detail: The model successfully distinguished between 1-star and 5-star reviews with minimal error. This high accuracy indicates a very low "False Positive" rate, meaning the model rarely confuses an angry customer with a happy one.</t>
  </si>
  <si>
    <t>Automated Brand Reputation Auditing
Business Value: At a 98%+ accuracy rate, the hospitality industry can automate the filtering of thousands of reviews per second. This allows management to instantly escalate "high-risk" 1-star reviews for immediate customer service recovery while identifying key "value drivers" (like location or staff) mentioned in 5-star reviews through the word cloud analysis.</t>
  </si>
  <si>
    <t>Deep Learning/Natural Language Processing (NLP)</t>
  </si>
  <si>
    <t>IMDB Movie Reviews</t>
  </si>
  <si>
    <t>https://www.kaggle.com/datasets/lakshmi25npathi/imdb-dataset-of-50k-movie-reviews</t>
  </si>
  <si>
    <t>Amazon Alexa Reviews</t>
  </si>
  <si>
    <t>https://www.kaggle.com/datasets/sid321axn/amazon-alexa-reviews</t>
  </si>
  <si>
    <t>Since the dataset was 92% positive, Accuracy is a trap; therefore I looked at other metrics. While the model achieved an Accuracy of 94%, the primary focus was on the F1-Score and Confusion Matrix analysis. This was critical due to the 90% class imbalance (positive skew), ensuring that the model's ability to identify rare negative reviews was evaluated alongside its overall performance.</t>
  </si>
  <si>
    <t>Sentiment analysis revealed that customer satisfaction is primarily driven by 'Ease of Use' and 'Sound Quality.' Conversely, negative feedback is highly concentrated on 'Connectivity Issues' and 'Voice Command Recognition' (glitching). These insights suggest that hardware reliability and software responsiveness are more critical to customer retention than adding new voice features.</t>
  </si>
  <si>
    <t>Neural Network (Sequential Dense Architecture)
Technical Detail: A multi-layer Feed-Forward Neural Network using an Adam optimizer and Binary Cross-Entropy loss.
NLP Pipeline: Text vectorization was performed using CountVectorizer with an ngram_range=(1,2), allowing the model to understand the context of word pairs (like "not good") rather than just single words.</t>
  </si>
  <si>
    <t>87.12% Test Accuracy
Meaning: Out of 10,000 previously unseen movie reviews, the model correctly identified the sentiment for 8,712 of them.
Stability: The close alignment between training and testing accuracy indicates a robust model that has generalized well without significant overfitting.</t>
  </si>
  <si>
    <t>Automated Voice of the Customer (VoC) Analysis
Scalability: The engine can process 50,000+ reviews in seconds, a task that would take a human team months to complete manually.
Sentiment Trends: By analyzing high-frequency keywords in the "Negative" category (e.g., "waste," "boring," "plot"), stakeholders can pinpoint exactly why a product or film is failing and take data-driven action to improve future releases.</t>
  </si>
  <si>
    <t>Food Delivery Time Prediction</t>
  </si>
  <si>
    <t>https://www.kaggle.com/datasets/denkuznetz/food-delivery-time-prediction/data</t>
  </si>
  <si>
    <t>Credit Score Classification</t>
  </si>
  <si>
    <t>https://www.kaggle.com/datasets/parisrohan/credit-score-classification</t>
  </si>
  <si>
    <t>Random Forest Classifier
An ensemble learning method consisting of a 'forest' of 100 decision trees. It was selected as the champion model after an algorithmic tournament because of its superior ability to handle non-linear financial data and its robustness against the noise (outliers) found in the raw dataset.</t>
  </si>
  <si>
    <t>F1-Score: 0.788 (Macro/Weighted Average)
The model achieved a balanced F1-score of ~79%, indicating high reliability in correctly identifying all three credit categories (Poor, Standard, Good). This metric was prioritized over simple accuracy to ensure the model performs consistently even if the number of 'Standard' customers outweighs the 'Good' or 'Poor' ones.</t>
  </si>
  <si>
    <t>Risk Drivers &amp; Automation Potential
Feature Importance analysis reveals that Outstanding Debt and Payment Delay are the strongest predictors of creditworthiness. By deploying this model, the organization can automate approximately 80% of routine credit classifications, allowing risk officers to focus only on 'borderline' cases, thereby increasing operational efficiency and reducing subjective bias in lending decisions.</t>
  </si>
  <si>
    <t>Health Insurance Premium Prediction</t>
  </si>
  <si>
    <t>NLP-Driven Content-Based Filtering
Leveraged a TF-IDF (Term Frequency-Inverse Document Frequency) vectorization strategy to convert 4,800+ raw movie overviews into a high-dimensional feature space. By weighting terms based on their uniqueness across the dataset, the algorithm effectively captures the 'narrative signature' of each film.</t>
  </si>
  <si>
    <t>Cosine Similarity &amp; Popularity Weighting
Utilized Cosine Similarity to quantify the thematic distance between vectors, ensuring recommendations are mathematically aligned with the user’s selection. This was augmented by a Popularity Threshold—consistent with my previous project cycles—to ensure that high-quality, statistically significant results are prioritized over obscure metadata noise.</t>
  </si>
  <si>
    <t>Diamond Price Prediction</t>
  </si>
  <si>
    <t>https://www.kaggle.com/datasets/shivam2503/diamonds/data</t>
  </si>
  <si>
    <t>XGBRegressor (Extreme Gradient Boosting)
This ensemble learning method was chosen for its ability to capture non-linear relationships and its high efficiency with tabular data.</t>
  </si>
  <si>
    <t>R-Squared: 0.981 &amp; MAE: $276
The model explains 98% of price variance, with an average prediction error of only $276 across a wide valuation range.</t>
  </si>
  <si>
    <t>Weight vs. Quality
While Carat/Volume are the primary price drivers, Ordinal Encoding of quality grades (Cut/Color/Clarity) revealed significant "quality premiums" that justify higher margins for premium stones.</t>
  </si>
  <si>
    <t xml:space="preserve">Gradient Boosting Regressor (GBM)
Gradient Boosting Regressor (Scikit-Learn). An ensemble learning method that builds trees sequentially, with each new tree correcting the errors of the previous ones to minimize the residual loss.
</t>
  </si>
  <si>
    <t>R-Squared = 0.81 | MAE = 6.52 mins
 This indicates the model explains 81% of the variance in delivery times, with an average prediction error of approximately 6.5 minutes.</t>
  </si>
  <si>
    <t>Environmental Impact &amp; ETA Reliability
Traffic density and weather conditions are stronger predictors of delay than raw distance. Business operations should prioritize dynamic ETA adjustments during 'High' traffic and 'Stormy' weather to maintain customer trust and optimize courier dispatching.</t>
  </si>
  <si>
    <t>https://www.kaggle.com/datasets/mosapabdelghany/medical-insurance-cost-dataset</t>
  </si>
  <si>
    <t>Gradient Boosting Regressor
An ensemble learning method that builds trees sequentially to minimize errors. It was chosen because it outperformed linear models and neural networks by effectively capturing the non-linear relationship between high-risk habits (smoking/obesity) and medical costs.</t>
  </si>
  <si>
    <t>$R^2$ Score: 0.878 | MAE: $2,447.95
The model explains 87.8% of the variance in medical charges. On average, the model's predictions are within $2,448 of the actual billed amount, making it a highly reliable tool for cost estimation compared to the industry baseline.</t>
  </si>
  <si>
    <t>Primary Cost Driver: Lifestyle Choice (Smoking)
Smoking status is the most significant predictor of high insurance premiums. Furthermore, a "risk multiplier" exists where the cost for smokers with a BMI over 30 increases exponentially, not just linearly. This suggests that preventative health programs targeting smoking and weight management offer the highest potential for reducing insurance payouts.</t>
  </si>
  <si>
    <t>DS-03</t>
  </si>
  <si>
    <t>DS-08</t>
  </si>
  <si>
    <t>DS-09</t>
  </si>
  <si>
    <t>DS-13</t>
  </si>
  <si>
    <t>DS-14</t>
  </si>
  <si>
    <t>DS-15</t>
  </si>
  <si>
    <t>https://github.com/basaktamer/DS-01-Iris-Flower-Classification/</t>
  </si>
  <si>
    <t>https://github.com/basaktamer/DS-12-Store-Sales-and-Profit-Data-Visualization</t>
  </si>
  <si>
    <t>https://github.com/basaktamer/DS-11-Uber-Trips-Data-Visualization</t>
  </si>
  <si>
    <t>https://github.com/basaktamer/DS-10-Waiter-Tips-Data-Visualization</t>
  </si>
  <si>
    <t>https://github.com/basaktamer/DS-09-Birth-Rate-Analysis-Time-Series</t>
  </si>
  <si>
    <t>https://github.com/basaktamer/DS-08-Tesla-Stock-Price-Prediction-Time-Series</t>
  </si>
  <si>
    <t>https://github.com/basaktamer/DS-07-New-York-City-Bicycle-Counts-Time-Series</t>
  </si>
  <si>
    <t>https://github.com/basaktamer/DS-06-Credit-Card-Clustering</t>
  </si>
  <si>
    <t>https://github.com/basaktamer/DS-05-Online-Shopping-Intention-Analysis-with-Clustering</t>
  </si>
  <si>
    <t>https://github.com/basaktamer/DS-04-Clustering-Music-Genres</t>
  </si>
  <si>
    <t>https://github.com/basaktamer/DS-03-Flower-Classification-CNN-Model-Transfer-Learning</t>
  </si>
  <si>
    <t>https://github.com/basaktamer/DS-02-Credit-Score-Classification</t>
  </si>
  <si>
    <t>https://github.com/basaktamer/DS-13-Food-Delivery-Time-Prediction</t>
  </si>
  <si>
    <t>https://github.com/basaktamer/DS-14-Health-Insurance-Premium-Prediction</t>
  </si>
  <si>
    <t>https://github.com/basaktamer/DS-15-Diamond-Price-Prediction</t>
  </si>
  <si>
    <t>https://github.com/basaktamer/DS-16-Trip-Advisor-Hotel-Reviews</t>
  </si>
  <si>
    <t>https://github.com/basaktamer/DS-17-IMDB-Movie-Reviews</t>
  </si>
  <si>
    <t>https://github.com/basaktamer/DS-18-Amazon-Alexa-Reviews/</t>
  </si>
  <si>
    <t>https://github.com/basaktamer/DS-19-Netflix-Recommendation-System</t>
  </si>
  <si>
    <t>https://github.com/basaktamer/DS-20-Book-Recommendation-System</t>
  </si>
  <si>
    <t>https://github.com/basaktamer/DS-21-Movie-Recommendation-System</t>
  </si>
  <si>
    <t>Reducing Search Friction &amp; Enhancing Discovery
By moving beyond simple genre matching to deep narrative similarity, this system significantly reduces Search Friction. From a business perspective, this enhances User Retention and Discovery, as the model uncovers 'hidden gem' titles that a manual search would likely miss, thereby increasing total platform engagement.</t>
  </si>
  <si>
    <t>A Sequential Deep Learning model (Neural Network); consisting of an Input layer, two Dense (fully connected) hidden layers with ReLU activation, and a Dropout layer to prevent overfitting. The text was vectorized using CountVectorizer (Bag-of-Words) and the final output used a Sigmoid activation function for binary sentiment classification.</t>
  </si>
  <si>
    <t>Logic: Aggregated Time-Series Binning (Temporal Feature Engineering &amp; Aggregation)
Description: The raw data (1,028,136 rows) was processed using a temporal extraction algorithm. By converting "Date/Time" strings into discrete objects, we applied a Group-By &amp; Aggregate logic to count trips within specific 60-minute windows (bins).
Implementation: We utilized the dt.hour and dt.dayofweek functions to transform high-velocity raw timestamps into a structured frequency distribution.</t>
  </si>
  <si>
    <t>Primary Metric: Hourly Trip Density (HTD)
Definition: The total number of unique trip pickups recorded within a specific hour across all five NYC bases.
Why it matters: HTD is the most critical metric for Uber's "Surge Pricing" model. It measures the pressure on the supply (drivers) relative to the demand (passengers) at any given moment. High HTD during the "Evening Surge" explains the spikes seen in the Racing Bar Chart.</t>
  </si>
  <si>
    <t>Silhouette Score
This is the primary metric used to evaluate the quality and separation of the clusters. A higher score (closer to 1) indicates that the shopper sessions within a cluster are very similar to each other and clearly different from sessions in other clusters. 
Project Goal: To find the value of $k$ where the Silhouette Score is optimized.</t>
  </si>
  <si>
    <t>Image_URL</t>
  </si>
  <si>
    <t>https://ai-toolkit-generations.imgix.net/content/-t-e-x-t_-t-o_-i-m-a-g-e-v1/media__7/image-84828f2d-f7f4-41e6-837b-24cb0c6bc7b9.png?auto=format%2Ccompress&amp;cs=srgb&amp;w=1440&amp;fit=max&amp;s=9e7ba46f2657ef6065fdfd1aef82c3d2</t>
  </si>
  <si>
    <t>https://i0.wp.com/centssavvy.com/wp-content/uploads/2025/01/seo_760-credit-score_032824.jpg</t>
  </si>
  <si>
    <t>https://ai-toolkit-generations.imgix.net/content/-t-e-x-t_-t-o_-i-m-a-g-e-v1/media__3/image-21cd86d8-c511-4012-bfc3-538b848be4fd.png?auto=format%2Ccompress&amp;cs=srgb&amp;w=1440&amp;fit=max&amp;s=701f3af51351d6e00bc0effea0e0fdb2</t>
  </si>
  <si>
    <t>https://www.marketingturkiye.com.tr/wp-content/uploads/2025/08/spotify-2.png.webp</t>
  </si>
  <si>
    <t>https://media2.dev.to/dynamic/image/width=1000,height=420,fit=cover,gravity=auto,format=auto/https%3A%2F%2Fdev-to-uploads.s3.amazonaws.com%2Fuploads%2Farticles%2Frrtxj28t4g4h7optw447.jpg</t>
  </si>
  <si>
    <t>https://www.creditcanada.com/hubfs/bz-cc/Blog/credit-cards-on-table.jpeg</t>
  </si>
  <si>
    <t>https://s.hdnux.com/photos/15/51/21/3576924/4/1920x0.jpg</t>
  </si>
  <si>
    <t>https://graphicsprings.com/wp-content/uploads/2023/07/image-173.png</t>
  </si>
  <si>
    <t>https://www.biologyonline.com/wp-content/uploads/2020/02/Birth-of-a-Human-Baby.jpg</t>
  </si>
  <si>
    <t>https://www.shutterstock.com/shutterstock/videos/3419168885/thumb/6.jpg?ip=x480</t>
  </si>
  <si>
    <t>https://img.cnbce.com/2/1280/720/storage/files/images/2025/12/16/ubere-abonelik-davasi-abd-federal-ticaret-komisyonu-ve-21-eyalet-harekete-gecti-iqil.jpg</t>
  </si>
  <si>
    <t>https://thumbs.dreamstime.com/b/giant-food-store-entrance-ephrata-pa-usa-december-lancaster-county-american-supermarket-chain-operates-stores-168050456.jpg</t>
  </si>
  <si>
    <t>https://storage.googleapis.com/kaggle-datasets-images/6360611/10279123/3415b18b027a097fc8554b60c66f8839/dataset-cover.jpg?t=2024-12-23-13-23-35</t>
  </si>
  <si>
    <t>https://storage.googleapis.com/kaggle-datasets-images/8129551/12853160/83b336ea7f928c215b00bfb0681810f1/dataset-cover.jpg?t=2025-08-24-12-28-03</t>
  </si>
  <si>
    <t>https://cdn.britannica.com/15/214515-050-2AB72256/jewelrs-tweezers-holding-a-diamond.jpg</t>
  </si>
  <si>
    <t>https://www.designmantic.com/blog/wp-content/uploads/2025/08/Tripadvisor-Logo.jpg</t>
  </si>
  <si>
    <t>https://logodix.com/logo/1592425.png</t>
  </si>
  <si>
    <t>data:image/png;base64,iVBORw0KGgoAAAANSUhEUgAAAkwAAABVCAMAAACM/EuLAAAAqFBMVEX///9fyvQ/OzwxLC06Njc1MTI8ODktKCng4OA4MzTx8fF9envt7e0zLi/8/Pz39/cmICHn5+eUk5MqJCaAf39Rx/PPzs6xsLC2trZpZ2fV1dXp9/1ua23c29tQTU5LR0iop6fCwcFEQEFeW1xzcXGbmpq/vr7Q7vu75/qJh4hz0PXj9f2G1fas4vnz+/6amJmR2fe45frH6/uP2fcgGRum4PliX2AZEBP0Qik+AAAUUUlEQVR4nO1daYOiuhLtZklEBREUl3EBtxm7p9fb4/v//+ylCpRsgFuP3vc4X2YaA6kkh6pKpRIeHirx/Pnx/vSY4en94/NH9T01asjwnl9+9xkeOcCfv1+eby1ajX8Xnv88iTziGfX0p+ZTjWPxWcikPZ9+f95axhr/Cnw8ljIp49NjTacaVfgsV0o8nX7eWtYad43npyOphHT6XU/uahTi4wQqoXL6dWuJa2TwptNp99ZCcHg9RS1ldPrHu7XUNRDBFw2d9q2lOOD5VCYhm55qU3cXaDmGYTZuLcUev05WSxmdaj/8HnBXZDrRXeLZVAcJ7gD3RKaXwnh3//HpN8PTY78wJl674bfHHZFJz6X+4/vL8+sr+tivr68/YbWu1k33ifshk85f6vffNd7Q5z86PtV+081xN2T6qfKjOIT0+qJbbqmXfm+MeyHTjxOoBGB0UvD0+tfEraHDvZDpSeHSnwpq/PgtK6f++9+RtUYB7oRMfxSrdYQHpHhZ9ZTutrgPMj1LtOgfZ7GUeHm/NnS3xH2QSebEP0fep6zk/f5WMWuU4y7IJEW+T/B9XiXHqY4P3BL3QKbXC/zoV8lzf/o2KWtU4h7IJIW+T+ODFFOoA+E3xB2QSVJMjyc60c+XULHGNXEHZBI9ptO9npcL7wd4ntduNNrekWl2ntcsKux5nW6jU/4cD+5vdDvHVlcpDauyecrDTr/jcGOZ5BVkwlqP7uNKSdjD1DYIXk//z+nPFd2mUyd0zUYcjEjohww+nW0HTU2ZZn6xE72NbJ8V9+3VoCMWi94mDv4ULgN9p3baw6C1MKFQ6PuktVaKNcugPM+brlcWCO/75iwYamTHR3JyNqP1iqR3kFbBDVrJu4NgZdBU8nDRi9UE3RIyHeTU9rGna9pB+KZEGNaC7czOutDeBVHeOmlR7ujG5RANXf+UtMvuoEVC17aIkYE4pruVu2nIfk7S/063c2pbWWHHXAzzUlHLyH8idrhS+qcTbWehaTtcbW64S4QyG6ME1lZ6YDwLc+GJbdqtsdrIjXUQ30uFJIfGkvgoRdFOWnMmOd9PLl3JdRWSqTNYhu6h2dDHPaHYxDLITp89HrBWr7i/p8HIpFwXGpYdzg6NeBeYcFYM+51nU//l6Pu6E8d01CGzraFYLnANZwT/iXbUJnxRQvfDu1lSh4iPMabCU7xgLhfBzgh7/Hhu3RIyEUsY+uHClJ/n0JbC4Z5t2DgejHuyBISOOnJ5BZ2eoZPcoW9iuSIybVQ5bXvNFRjZ7E1Y6qqOQ2I4u/xJs/x95RphLtNaJfe7smE6/BBU0/EueM9EUdibYlLKlCY1XWw0CWOhXMDaumDcG1ELBtQ108JYlgZQIprBX4TphvQnK32wkFwf+enD4X4sxYrhFXfJUWRrl5GJ8GTqUbydPS/ESlOe21YkN9MxyIz9GxvQvFz+rLx2EAWsw1xyqCo03XREaU8oV0CmFcoJfeN/MduU1Wty+qYLb5AZqDU3QvZDeNBZnX3H2mYqyb4RDsEXV7By5y6uiarpaDu3s2AkjFlruImm3XZ3nMRLG1XVlzAgjEyG8xB8WaChF7t4EzXa3Wi4ROqF0UNnBTxxTGO5xgeNNyt8f7hXiiGicLs1H8WbZMweME2GK4J6yG3lpeLQ1QI5RuY5mTozF19KMhokrM5GtAnmqGeJPxCbycjExI8Mxnc2Cig/u2GarOdYuynZThVbUBwmmU8GmwgkHyeDkYUCUV6/6MnUmUFJx52vkymTvj1OmJzQce4kL7QJlU5HzFnBMLcTXRtt5GL5xrowbfQ2fZi1AAUrLvGeubb2fB4jV761W0eimm+sKAyIw18DMhk7k43cohdxuiEBzWKNImbRiGutIs7ATGfAJsr7Q9F/6HKbiJ5BJ0bzEXLlpmMdptMlK2jmdqWzBKHcRcxbtfEK+U1FMw1ksraM7xadb8e8bhsgm/yq2fzbl8ncXHEPUzvAqmz+Xh2ZOjMguDkRiJLM4SLlSN9zodNliws23+W0XzMM56uh6D08JFiDC3pNmIqdnUMiPOXo+Vw70jl9a2CTyY8HkokY7jyW/JEoUw6GTQLpUe0FKCtO5Tx0EqkXEOOUkJWyrllV1jLv7R5ahq3sIEUGWGJbqAnIZDBTR3cbebQSaKutsS8COomObhvoFZtXazoyTVgp4kpO6ENn5ECP5uJ4M+iulVgKpCMzXuZorJn1dZbw4oasnKBTzl5ZE2JV/XOfkoHNLdi4cReQTJa5Vl1VHCfmY/VUVg7BIXOqp95YLqzaupiY4CrktaBdMNdqwS6Q2JqpQtJZopZ+2KLeqBRSizfQJguuhRoyxej0qFPMDhgw/o2d4issGOgmNMXUTE9ltMP09f95DSsn27kL92ROQ3hruE4CMllLnRYbo020dQ32oCtCnTKSgN06KC/TBT+TM5oeWEdX6+x0fejZmLuCZPrS19CG0v55e7pxsEOOPCqZ2vCm+KovxN4GKinkGNSQw0uyYt1O42MkQae2Jya4XZBAwtu5S1MHvKX0RoCspl7HgLEJ9T+tmIJz4+rqYvYMW6NjeIAHxvcrGD0y05dN4D31OdcIyFSo+sC8mJtqKXVYOWILVTL1bL3+ZExk7yuZ8z23wlc2l3vA2GVP1Ds1QLU2F9ZCzol+7/H7CnPCA0D3U+51QjLp394RjLJeE4P9st+0PwlgszzDKZ9RQT/bvEPh641Hip3EYiCTXxRNWtuSg3gCNlILFTJ1wTOa6cOi8K4J7ntq1Q7Ma4BhX1QHwRDw/hgiCS7QKB9XIiUCOvhIMoFaMXXOSOrmVPq2DN1QCvKqlUAJfkzAM7V2RcUjKqqtUjJhA84kUyS1UCETKNAiC46FBS8A5IZIC8IDZaw1kDqAq2CI5umCvUo/r2QuETBjPpJMULTASshdXQi/YjqHkxpL8CacMgbgzMjNx6mUTKBdvotM4C8IHjoPlUwYCdhP8QJTH8bUA5SxISbsXuA4C2S6NA0FDNQpZNKPxbXI1DaIGIl6eMArxRYgEE1XKZlAHZxLprFbTqYuVaf7B6BLKcURQBul5jzypRl1OSYqmS7YDvB8f2QaX4dMqO+F2RnS1CpxTYEg3O83I1OJD/DQnIPWkqYFwD6MZTYdiNYfP8lUyXQJB16FEMMFDwLcFZlA99st4VKVNwZLXSR/rW9GJqjYLgiO6N2+YRYfaNnS8kEFajLtUUomxfnO5HFLIlMdcJqMg8C3IpPHPBl+NZFHE6NrsXIdYgnOJDaLomgF0Ji5C3Lw/lfJNBaXzVOAu0HLwqHojxwK3IpMTSIoSB5dWE8jmvUBJBmx1ReoHPfjM7WT4XYyGrW2w026jPu9ZIqG69VotOrFmyR1GUrI1ITIt7KaDnMXWuZQwKjSq5PJS4YBSL4dbBJ8XAWZ2uABGcu1srI33mIKi5zdkP5G02wbWrb6PN7Erclo1XobZuudGjJdKzRwCpmaMfFN07Ysy4EkGd9uDZrDE0MDJ5ApGX1R03agOpfVFi7jMUTcisgES5hUiSBjhL6MTL3rk6kzmPk07SeUnE7iRhWZfCPNYwp9Y7WOB4PhcDiI411IMVOG6rX2Os3KKbbi460fmq6TjVjoz4NNRqYbx5k6b6ErJQE6JoZTv4VMyZxKeYLExZ4tIBOmYLSUy0Amt4xMYgj/GmQa2HKypOWGllFKpm6YN9OyXddkcN00r464pIguGICkRYI0RqGUHAtZd4s7iIBPZ2ZKIBuyH1lT8+TibyCT10tzLa1DbYccYD2ZYHXKmqk0ADLZZXkGQKZ8Tn45mZqjlBcayUvIhP7eAtS+OPps+KmSspPfhZrJLnC/4zTPmqAgFATJ89JvuzY3xmZa1OmtB0kUJcN1sJ2HNE0wuzqZvB1mP7nh6C3eQG3xW7A0Q9MuItMYE8Y0vsPf1kxtTJYkJl29xUkm+YyGboVmAjI5vc4mmFg+pEQjmGEKZ4GSWHUA5qYYRYGBNyS1zZ6wHkbjZDNYByvmpqSpzjfNGmij5qY70b/1xvGOfAeZVsAl246FfvS6w8DRk6mpRr4zHOUzhVfzmbwlJj3Nh8L8ymsMWlalmUvTAz2vkYC7xDBMuqXTNIgwgdoTcoD2GACXyJeo1bzOZp2aOTGf6ez1lLPymXaYO6pZWNt8x2xuCB2hcYAKZ3MwhKrzjYL/3dkcLJNpE0mm1Q54WaBeB6CLu4YGOmqXYFaXo0ssSx3wK2Va/joj0zIKJWt2wHeEBlB96z0BPZm2ppR2kgPjTGVT56vGmXCGr4kvVocGwsI4UxEaNrJoirmASpU9W+9DHsgkZG8fey6TAt5lOtZaTqyioOJ3kAmX/vXhYC2ZhgXO916evxcBx+xz7QShKmjpFGfw6YHrkG4b/GxDySl4aBN4H7VZXBmZrrI7RTgK5Uj/G10SUzsn+g4ybYsJoCPTmM0CiFWgfSrX5uxrrs3NSIECr1xOAd+OHL9am4ZCQvQ7Jo4aBFcyfXNkZBL3zX2cUDMHgZFHnkWIS+96M/INZPLAyskZFxk0ZOrMrX23Fole4oyMxV6/kEyYJa6v54iF3oI0VL0s/sGyd9DDFL0CeB8LcscyMl1jR6/4jCPj39CLBdGM7yATdI6jLacj06gwdxoBSpX+pXwm2FRbYKyqyLR2yzWoBNh9cNj+FCGHhbkstKNgs0pGJumsgeMPCuDwcc5ZA5iirR+v7yCTDx2ll0QlE8yfynLpwcEu3gVwUqZlJZkwOUqvwavI1DjNA4e9dOah26EPiMW7IZg1rl/f3pNJDA70z8gc8ATFdGxgYFCc739rMm38Qmc9RUUOuKRLrkAmPbGryIQTAfPYPG7MO8mf5sG6pJCnOakmk3S80hkTOvG0r2Mjn+jF3qWZS/MNS/ds4+6UoiSUySm7UyrJNKVnmzk4PqY4b1fzMGH77tSWQhKtajMnnxx38qGUYirT0bEq3GGkiyF+D5lgWuvq19MkMmFEyi9PM3wr2TcX6fbNXeiA69ddK4KWadhIH8RXgDMU0VuPqRgfEFccBRzIJJ9peWoYXIgxHZ9+0sWTOHRbJzDIce3QQK9oQ8l4Lh02sCp3vhEdWD/Ub95ohnKM8UIyGcooZ0jgl1IyYZiRlK787KFrtRQfGBRNYtu4UpU6EfJpu6cFm36dq9jAJrvKoHnJ3PyOrAHoCY0uabTw7COOTG+0MPLNYahQJkMb4n5kzl+6kEy4OV4VaLxDyXky9RQyYXIfWVSzaRjKJyTA3UTYBN/F0xsU495cZye24V+iA/3YP2m9Vzq6+YS8ODwxQlKbzeGSEsP6BjJJHZMVaVEHa8vJpJ78oUcrPR9L9tLHeFiNq5yCcgGZpsrhBXAuyii0DDlr4M1WOnQIN1tEa5waufCY+qQuNyZifCDVVKKv0AgM1yDkQCb5izpHf+0CILrvJ63uYbKDma/iN6MWnJdHTFgNv/pC7xq4667yYR6vl5AYZ054MsEeH8NK2l098qen5x65MyFA0NhinlEoRtovXeht4UlQvcMgelEwgyQ/upLIhFuJl+LMIcCjPaTzmTA3Y8mdOwdWItSsD+C2TGvvi4xRNc1zZjaGI5e12FlMyIFM8gfCTtBN7yIPT1Jq0/8An11jNNhsNsPtLD240XbHMJ26Opk8HH3Hnq1ZbZv1buGC32N9BQ8LkpNpgDZ2YenhcAsMzXmaZLTobfCUsQYce4eX/FgU5FIyNVMV5CxjkDxYLvDsP4cNvuQz4QqV5cxncy6NcospSJa52KZydhrJ5o09wyX5Jkuc9WkXSmZC/kDGzPkWBBms5g4cS0jCXQd26O3JpHzV6VgvXP7qymnuVoJWH45qZHBQVzpwKF/3W3LAO/P0KEEbaksTBIm5nGJ60oFMcdn5qIbxxXHCy86KdOCsyC8/S+pjdJVtysXJcVOSpdqi5NhPFp000TcXItw4/2JGh9g9/mJ6N8jpf/k+HkSJfb1vNJp2Xf4SqxonQ/H+zxbNHgUZwGkXusYm67Z9IfV7c0c50p8Sl04NK0QLYeyIa7dAScOGbJlMBflDoEloAZmoEISD49JCPo+aOHSJRmprc2QyjybT/sRTARYdKYICmb4KyRQekbbbmAkZ4MTOMgrnEpmYGkpTdHkyPYyXoeaEXIcusikiHH9CdHll2EYgWr63NxCPR2YKD49gw82bh3vUL2G+V2sZ6QjxM76E2Qyc9DWBjPdwtj8JvhWavA87CE1aENQZU/auFpwfP6dmKA7TcH9sN3FsSloZX5PQPFimsVkGKq2jt9cL/ixpx6UjTbx56Jt0rl7OeoBQs/qwES+ep5ITOLp8sc1osGZPllq4DEMahpZIjc2OOwY8PUTcaCV7fnchq7wwFrJl7ebis+MJTR/FRsyko+x4+rZBab4ioPtGb9Ui20/pjrO+0dscBkvDtY1dEDcOb6/XbgtKt91uF73ZTakohw67Tbrkjd9WC9sls94bd5wqX449rwSKFB1whpnloDT0Hd1XAyrE10qpLZYEI+ZPkuV2Pc4fpmlhu5GM1S7pxj0DxDQphc8brIWzKUv6MK1D+LUbb2eO6yxWwTCvnLWCe8+0Xw8vzUiRuXR+0q/nXemDHrepzWuOoyRqfH8bLpPc89pRkkTTa3wypkoS5Yu7QKf+78K5/qfstNffLaxxwIuGTfC5Xr3CkblXf2iuBo8CNmlzeeXpX/3h8BoiCtikTtLkT/PWeqmGAp3f9KhuM3h+rP2lGpV41qomyWtS3KUCt6rG/zkUA6aQSTVx739xXl/jX4UPhU0CmX5KJq7/WLveNQrxrKienEyv7/Jv/1xw3FyN/wN8itonJ9OnrJaeas+7RhV+8azZk+n5SbZwdUCgxjH4fOr3BTL9EC1c/7F4paVGDQnPfzI+AZle/wi6qv/0UocDapwC7/nld5/hx+vLgUrsz8d/Pmom1TgHPz4/fu1T556e3j8+ayLV0OK/BJGYoWaSoLEAAAAASUVORK5CYII=</t>
  </si>
  <si>
    <t>https://i.ytimg.com/vi/TU4OP3BbAVk/hq720.jpg?sqp=-oaymwEhCK4FEIIDSFryq4qpAxMIARUAAAAAGAElAADIQj0AgKJD&amp;rs=AOn4CLAXtndoK-pHH_9xMmEz2ksE1MxM3A</t>
  </si>
  <si>
    <t>https://images.unsplash.com/photo-1662582632312-e9d55a5f70b8?fm=jpg&amp;q=60&amp;w=3000&amp;auto=format&amp;fit=crop&amp;ixlib=rb-4.1.0&amp;ixid=M3wxMjA3fDB8MHxwaG90by1wYWdlfHx8fGVufDB8fHx8fA%3D%3D</t>
  </si>
  <si>
    <t>https://media.timeout.com/images/105771947/750/562/image.jpg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</si>
</sst>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sz val="10"/>
      <color theme="1"/>
      <name val="Arial"/>
      <family val="2"/>
    </font>
    <font>
      <sz val="8"/>
      <name val="Calibri"/>
      <family val="2"/>
      <scheme val="minor"/>
    </font>
    <font>
      <u/>
      <sz val="12"/>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1" fillId="0" borderId="0" xfId="0" applyFont="1"/>
    <xf numFmtId="0" fontId="1" fillId="0" borderId="1" xfId="0" applyFont="1" applyBorder="1" applyAlignment="1">
      <alignment horizontal="center"/>
    </xf>
    <xf numFmtId="0" fontId="0" fillId="0" borderId="1" xfId="0"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4" fillId="0" borderId="1" xfId="1" applyFill="1" applyBorder="1" applyAlignment="1">
      <alignment horizontal="center" vertical="center"/>
    </xf>
    <xf numFmtId="0" fontId="0" fillId="0" borderId="0" xfId="0" applyAlignment="1">
      <alignment vertical="center"/>
    </xf>
    <xf numFmtId="0" fontId="0" fillId="0" borderId="1" xfId="0" applyBorder="1" applyAlignment="1">
      <alignment vertical="top" wrapText="1"/>
    </xf>
    <xf numFmtId="0" fontId="4" fillId="0" borderId="1" xfId="1" applyFill="1" applyBorder="1" applyAlignment="1">
      <alignment vertical="center"/>
    </xf>
    <xf numFmtId="0" fontId="4" fillId="0" borderId="1" xfId="1" applyBorder="1" applyAlignment="1">
      <alignment vertical="center"/>
    </xf>
    <xf numFmtId="0" fontId="0" fillId="0" borderId="1" xfId="0" applyBorder="1" applyAlignment="1">
      <alignment wrapText="1"/>
    </xf>
    <xf numFmtId="0" fontId="0" fillId="0" borderId="1" xfId="0" applyBorder="1" applyAlignment="1">
      <alignment vertical="center" wrapText="1"/>
    </xf>
    <xf numFmtId="0" fontId="0" fillId="0" borderId="1" xfId="0" applyBorder="1" applyAlignment="1">
      <alignment horizontal="left" vertical="center" wrapText="1"/>
    </xf>
    <xf numFmtId="0" fontId="4" fillId="0" borderId="1" xfId="1" applyBorder="1" applyAlignment="1">
      <alignment horizontal="center" vertical="center"/>
    </xf>
    <xf numFmtId="0" fontId="1" fillId="0" borderId="0" xfId="0" applyFont="1" applyAlignment="1">
      <alignment horizontal="center" vertical="center"/>
    </xf>
    <xf numFmtId="0" fontId="4" fillId="0" borderId="1" xfId="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github.com/basaktamer/DS-12-Store-Sales-and-Profit-Data-Visualization" TargetMode="External"/><Relationship Id="rId21" Type="http://schemas.openxmlformats.org/officeDocument/2006/relationships/hyperlink" Target="https://github.com/amankharwal/Birthrate-Analysis/blob/master/births.csv" TargetMode="External"/><Relationship Id="rId34" Type="http://schemas.openxmlformats.org/officeDocument/2006/relationships/hyperlink" Target="https://github.com/basaktamer/DS-04-Clustering-Music-Genres" TargetMode="External"/><Relationship Id="rId42" Type="http://schemas.openxmlformats.org/officeDocument/2006/relationships/hyperlink" Target="https://github.com/basaktamer/DS-18-Amazon-Alexa-Reviews/" TargetMode="External"/><Relationship Id="rId47" Type="http://schemas.openxmlformats.org/officeDocument/2006/relationships/hyperlink" Target="https://i0.wp.com/centssavvy.com/wp-content/uploads/2025/01/seo_760-credit-score_032824.jpg" TargetMode="External"/><Relationship Id="rId50" Type="http://schemas.openxmlformats.org/officeDocument/2006/relationships/hyperlink" Target="https://media2.dev.to/dynamic/image/width=1000,height=420,fit=cover,gravity=auto,format=auto/https%3A%2F%2Fdev-to-uploads.s3.amazonaws.com%2Fuploads%2Farticles%2Frrtxj28t4g4h7optw447.jpg" TargetMode="External"/><Relationship Id="rId55" Type="http://schemas.openxmlformats.org/officeDocument/2006/relationships/hyperlink" Target="https://www.shutterstock.com/shutterstock/videos/3419168885/thumb/6.jpg?ip=x480" TargetMode="External"/><Relationship Id="rId63" Type="http://schemas.openxmlformats.org/officeDocument/2006/relationships/hyperlink" Target="https://i.ytimg.com/vi/TU4OP3BbAVk/hq720.jpg?sqp=-oaymwEhCK4FEIIDSFryq4qpAxMIARUAAAAAGAElAADIQj0AgKJD&amp;rs=AOn4CLAXtndoK-pHH_9xMmEz2ksE1MxM3A" TargetMode="External"/><Relationship Id="rId7" Type="http://schemas.openxmlformats.org/officeDocument/2006/relationships/hyperlink" Target="https://www.kaggle.com/code/basaktamer/store-sales-and-profit-data-visualization" TargetMode="External"/><Relationship Id="rId2" Type="http://schemas.openxmlformats.org/officeDocument/2006/relationships/hyperlink" Target="https://www.kaggle.com/datasets/satpreetmakhija/netflix-movies-and-tv-shows-2021" TargetMode="External"/><Relationship Id="rId16" Type="http://schemas.openxmlformats.org/officeDocument/2006/relationships/hyperlink" Target="https://www.kaggle.com/datasets/lakshmi25npathi/imdb-dataset-of-50k-movie-reviews" TargetMode="External"/><Relationship Id="rId29" Type="http://schemas.openxmlformats.org/officeDocument/2006/relationships/hyperlink" Target="https://github.com/basaktamer/DS-09-Birth-Rate-Analysis-Time-Series" TargetMode="External"/><Relationship Id="rId11" Type="http://schemas.openxmlformats.org/officeDocument/2006/relationships/hyperlink" Target="https://www.kaggle.com/datasets/arjunbhasin2013/ccdata" TargetMode="External"/><Relationship Id="rId24" Type="http://schemas.openxmlformats.org/officeDocument/2006/relationships/hyperlink" Target="https://www.kaggle.com/datasets/mosapabdelghany/medical-insurance-cost-dataset" TargetMode="External"/><Relationship Id="rId32" Type="http://schemas.openxmlformats.org/officeDocument/2006/relationships/hyperlink" Target="https://github.com/basaktamer/DS-06-Credit-Card-Clustering" TargetMode="External"/><Relationship Id="rId37" Type="http://schemas.openxmlformats.org/officeDocument/2006/relationships/hyperlink" Target="https://github.com/basaktamer/DS-13-Food-Delivery-Time-Prediction" TargetMode="External"/><Relationship Id="rId40" Type="http://schemas.openxmlformats.org/officeDocument/2006/relationships/hyperlink" Target="https://github.com/basaktamer/DS-16-Trip-Advisor-Hotel-Reviews" TargetMode="External"/><Relationship Id="rId45" Type="http://schemas.openxmlformats.org/officeDocument/2006/relationships/hyperlink" Target="https://github.com/basaktamer/DS-21-Movie-Recommendation-System" TargetMode="External"/><Relationship Id="rId53" Type="http://schemas.openxmlformats.org/officeDocument/2006/relationships/hyperlink" Target="https://graphicsprings.com/wp-content/uploads/2023/07/image-173.png" TargetMode="External"/><Relationship Id="rId58" Type="http://schemas.openxmlformats.org/officeDocument/2006/relationships/hyperlink" Target="https://storage.googleapis.com/kaggle-datasets-images/6360611/10279123/3415b18b027a097fc8554b60c66f8839/dataset-cover.jpg?t=2024-12-23-13-23-35" TargetMode="External"/><Relationship Id="rId5" Type="http://schemas.openxmlformats.org/officeDocument/2006/relationships/hyperlink" Target="https://amanxai.com/2021/04/21/uber-trips-analysis-using-python/" TargetMode="External"/><Relationship Id="rId61" Type="http://schemas.openxmlformats.org/officeDocument/2006/relationships/hyperlink" Target="https://www.designmantic.com/blog/wp-content/uploads/2025/08/Tripadvisor-Logo.jpg" TargetMode="External"/><Relationship Id="rId19" Type="http://schemas.openxmlformats.org/officeDocument/2006/relationships/hyperlink" Target="https://www.kaggle.com/datasets/alxmamaev/flowers-recognition" TargetMode="External"/><Relationship Id="rId14" Type="http://schemas.openxmlformats.org/officeDocument/2006/relationships/hyperlink" Target="https://www.kaggle.com/datasets/andrewmvd/trip-advisor-hotel-reviews" TargetMode="External"/><Relationship Id="rId22" Type="http://schemas.openxmlformats.org/officeDocument/2006/relationships/hyperlink" Target="https://www.kaggle.com/datasets/denkuznetz/food-delivery-time-prediction/data" TargetMode="External"/><Relationship Id="rId27" Type="http://schemas.openxmlformats.org/officeDocument/2006/relationships/hyperlink" Target="https://github.com/basaktamer/DS-11-Uber-Trips-Data-Visualization" TargetMode="External"/><Relationship Id="rId30" Type="http://schemas.openxmlformats.org/officeDocument/2006/relationships/hyperlink" Target="https://github.com/basaktamer/DS-08-Tesla-Stock-Price-Prediction-Time-Series" TargetMode="External"/><Relationship Id="rId35" Type="http://schemas.openxmlformats.org/officeDocument/2006/relationships/hyperlink" Target="https://github.com/basaktamer/DS-03-Flower-Classification-CNN-Model-Transfer-Learning" TargetMode="External"/><Relationship Id="rId43" Type="http://schemas.openxmlformats.org/officeDocument/2006/relationships/hyperlink" Target="https://github.com/basaktamer/DS-19-Netflix-Recommendation-System" TargetMode="External"/><Relationship Id="rId48" Type="http://schemas.openxmlformats.org/officeDocument/2006/relationships/hyperlink" Target="https://ai-toolkit-generations.imgix.net/content/-t-e-x-t_-t-o_-i-m-a-g-e-v1/media__3/image-21cd86d8-c511-4012-bfc3-538b848be4fd.png?auto=format%2Ccompress&amp;cs=srgb&amp;w=1440&amp;fit=max&amp;s=701f3af51351d6e00bc0effea0e0fdb2" TargetMode="External"/><Relationship Id="rId56" Type="http://schemas.openxmlformats.org/officeDocument/2006/relationships/hyperlink" Target="https://img.cnbce.com/2/1280/720/storage/files/images/2025/12/16/ubere-abonelik-davasi-abd-federal-ticaret-komisyonu-ve-21-eyalet-harekete-gecti-iqil.jpg" TargetMode="External"/><Relationship Id="rId64" Type="http://schemas.openxmlformats.org/officeDocument/2006/relationships/hyperlink" Target="https://images.unsplash.com/photo-1662582632312-e9d55a5f70b8?fm=jpg&amp;q=60&amp;w=3000&amp;auto=format&amp;fit=crop&amp;ixlib=rb-4.1.0&amp;ixid=M3wxMjA3fDB8MHxwaG90by1wYWdlfHx8fGVufDB8fHx8fA%3D%3D" TargetMode="External"/><Relationship Id="rId8" Type="http://schemas.openxmlformats.org/officeDocument/2006/relationships/hyperlink" Target="https://www.kaggle.com/datasets/henrysue/online-shoppers-intention" TargetMode="External"/><Relationship Id="rId51" Type="http://schemas.openxmlformats.org/officeDocument/2006/relationships/hyperlink" Target="https://www.creditcanada.com/hubfs/bz-cc/Blog/credit-cards-on-table.jpeg" TargetMode="External"/><Relationship Id="rId3" Type="http://schemas.openxmlformats.org/officeDocument/2006/relationships/hyperlink" Target="https://amanxai.com/2020/05/20/data-science-project-movie-recommendation-system/" TargetMode="External"/><Relationship Id="rId12" Type="http://schemas.openxmlformats.org/officeDocument/2006/relationships/hyperlink" Target="https://www.kaggle.com/datasets/uciml/iris" TargetMode="External"/><Relationship Id="rId17" Type="http://schemas.openxmlformats.org/officeDocument/2006/relationships/hyperlink" Target="https://www.kaggle.com/datasets/sid321axn/amazon-alexa-reviews" TargetMode="External"/><Relationship Id="rId25" Type="http://schemas.openxmlformats.org/officeDocument/2006/relationships/hyperlink" Target="https://github.com/basaktamer/DS-01-Iris-Flower-Classification/" TargetMode="External"/><Relationship Id="rId33" Type="http://schemas.openxmlformats.org/officeDocument/2006/relationships/hyperlink" Target="https://github.com/basaktamer/DS-05-Online-Shopping-Intention-Analysis-with-Clustering" TargetMode="External"/><Relationship Id="rId38" Type="http://schemas.openxmlformats.org/officeDocument/2006/relationships/hyperlink" Target="https://github.com/basaktamer/DS-14-Health-Insurance-Premium-Prediction" TargetMode="External"/><Relationship Id="rId46" Type="http://schemas.openxmlformats.org/officeDocument/2006/relationships/hyperlink" Target="https://ai-toolkit-generations.imgix.net/content/-t-e-x-t_-t-o_-i-m-a-g-e-v1/media__7/image-84828f2d-f7f4-41e6-837b-24cb0c6bc7b9.png?auto=format%2Ccompress&amp;cs=srgb&amp;w=1440&amp;fit=max&amp;s=9e7ba46f2657ef6065fdfd1aef82c3d2" TargetMode="External"/><Relationship Id="rId59" Type="http://schemas.openxmlformats.org/officeDocument/2006/relationships/hyperlink" Target="https://storage.googleapis.com/kaggle-datasets-images/8129551/12853160/83b336ea7f928c215b00bfb0681810f1/dataset-cover.jpg?t=2025-08-24-12-28-03" TargetMode="External"/><Relationship Id="rId20" Type="http://schemas.openxmlformats.org/officeDocument/2006/relationships/hyperlink" Target="https://raw.githubusercontent.com/amankharwal/Fremont-Bridge-Bicycle-Counts/master/fremont-bridge.csv" TargetMode="External"/><Relationship Id="rId41" Type="http://schemas.openxmlformats.org/officeDocument/2006/relationships/hyperlink" Target="https://github.com/basaktamer/DS-17-IMDB-Movie-Reviews" TargetMode="External"/><Relationship Id="rId54" Type="http://schemas.openxmlformats.org/officeDocument/2006/relationships/hyperlink" Target="https://www.biologyonline.com/wp-content/uploads/2020/02/Birth-of-a-Human-Baby.jpg" TargetMode="External"/><Relationship Id="rId62" Type="http://schemas.openxmlformats.org/officeDocument/2006/relationships/hyperlink" Target="https://logodix.com/logo/1592425.png" TargetMode="External"/><Relationship Id="rId1" Type="http://schemas.openxmlformats.org/officeDocument/2006/relationships/hyperlink" Target="https://amanxai.com/2021/01/17/book-recommendation-system/" TargetMode="External"/><Relationship Id="rId6" Type="http://schemas.openxmlformats.org/officeDocument/2006/relationships/hyperlink" Target="https://www.kaggle.com/datasets/vivek468/superstore-dataset-final/code" TargetMode="External"/><Relationship Id="rId15" Type="http://schemas.openxmlformats.org/officeDocument/2006/relationships/hyperlink" Target="https://huggingface.co/spaces/basaktamer/trip_advisor_sentiment_analysis" TargetMode="External"/><Relationship Id="rId23" Type="http://schemas.openxmlformats.org/officeDocument/2006/relationships/hyperlink" Target="https://www.kaggle.com/datasets/shivam2503/diamonds/data" TargetMode="External"/><Relationship Id="rId28" Type="http://schemas.openxmlformats.org/officeDocument/2006/relationships/hyperlink" Target="https://github.com/basaktamer/DS-10-Waiter-Tips-Data-Visualization" TargetMode="External"/><Relationship Id="rId36" Type="http://schemas.openxmlformats.org/officeDocument/2006/relationships/hyperlink" Target="https://github.com/basaktamer/DS-02-Credit-Score-Classification" TargetMode="External"/><Relationship Id="rId49" Type="http://schemas.openxmlformats.org/officeDocument/2006/relationships/hyperlink" Target="https://www.marketingturkiye.com.tr/wp-content/uploads/2025/08/spotify-2.png.webp" TargetMode="External"/><Relationship Id="rId57" Type="http://schemas.openxmlformats.org/officeDocument/2006/relationships/hyperlink" Target="https://thumbs.dreamstime.com/b/giant-food-store-entrance-ephrata-pa-usa-december-lancaster-county-american-supermarket-chain-operates-stores-168050456.jpg" TargetMode="External"/><Relationship Id="rId10" Type="http://schemas.openxmlformats.org/officeDocument/2006/relationships/hyperlink" Target="https://amanxai.com/2022/04/05/clustering-music-genres-with-machine-learning/" TargetMode="External"/><Relationship Id="rId31" Type="http://schemas.openxmlformats.org/officeDocument/2006/relationships/hyperlink" Target="https://github.com/basaktamer/DS-07-New-York-City-Bicycle-Counts-Time-Series" TargetMode="External"/><Relationship Id="rId44" Type="http://schemas.openxmlformats.org/officeDocument/2006/relationships/hyperlink" Target="https://github.com/basaktamer/DS-20-Book-Recommendation-System" TargetMode="External"/><Relationship Id="rId52" Type="http://schemas.openxmlformats.org/officeDocument/2006/relationships/hyperlink" Target="https://s.hdnux.com/photos/15/51/21/3576924/4/1920x0.jpg" TargetMode="External"/><Relationship Id="rId60" Type="http://schemas.openxmlformats.org/officeDocument/2006/relationships/hyperlink" Target="https://cdn.britannica.com/15/214515-050-2AB72256/jewelrs-tweezers-holding-a-diamond.jpg" TargetMode="External"/><Relationship Id="rId65" Type="http://schemas.openxmlformats.org/officeDocument/2006/relationships/hyperlink" Target="https://media.timeout.com/images/105771947/750/562/image.jpg" TargetMode="External"/><Relationship Id="rId4" Type="http://schemas.openxmlformats.org/officeDocument/2006/relationships/hyperlink" Target="https://raw.githubusercontent.com/amankharwal/Website-data/master/tips.csv" TargetMode="External"/><Relationship Id="rId9" Type="http://schemas.openxmlformats.org/officeDocument/2006/relationships/hyperlink" Target="https://www.kaggle.com/code/basaktamer/online-shopping-intention-analysis-with-clustering" TargetMode="External"/><Relationship Id="rId13" Type="http://schemas.openxmlformats.org/officeDocument/2006/relationships/hyperlink" Target="https://amanxai.com/2021/11/24/add-labels-to-a-dataset-for-sentiment-analysis/" TargetMode="External"/><Relationship Id="rId18" Type="http://schemas.openxmlformats.org/officeDocument/2006/relationships/hyperlink" Target="https://www.kaggle.com/datasets/parisrohan/credit-score-classification" TargetMode="External"/><Relationship Id="rId39" Type="http://schemas.openxmlformats.org/officeDocument/2006/relationships/hyperlink" Target="https://github.com/basaktamer/DS-15-Diamond-Price-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63D41-F983-8D48-8DD7-18FDB5A6C193}">
  <dimension ref="A1:L33"/>
  <sheetViews>
    <sheetView tabSelected="1" topLeftCell="K20" workbookViewId="0">
      <selection activeCell="L23" sqref="L23"/>
    </sheetView>
  </sheetViews>
  <sheetFormatPr baseColWidth="10" defaultRowHeight="16" x14ac:dyDescent="0.2"/>
  <cols>
    <col min="1" max="1" width="17.6640625" style="7" customWidth="1"/>
    <col min="2" max="2" width="44.6640625" style="7" customWidth="1"/>
    <col min="3" max="3" width="50.5" style="7" bestFit="1" customWidth="1"/>
    <col min="4" max="4" width="44.6640625" style="7" customWidth="1"/>
    <col min="5" max="5" width="54.33203125" customWidth="1"/>
    <col min="6" max="6" width="60.5" bestFit="1" customWidth="1"/>
    <col min="7" max="7" width="94.5" style="10" customWidth="1"/>
    <col min="8" max="8" width="64" bestFit="1" customWidth="1"/>
    <col min="9" max="9" width="64" customWidth="1"/>
    <col min="10" max="10" width="78.33203125" customWidth="1"/>
    <col min="11" max="11" width="65.1640625" style="10" customWidth="1"/>
    <col min="12" max="12" width="68.83203125" customWidth="1"/>
  </cols>
  <sheetData>
    <row r="1" spans="1:12" s="1" customFormat="1" x14ac:dyDescent="0.2">
      <c r="A1" s="4" t="s">
        <v>0</v>
      </c>
      <c r="B1" s="4" t="s">
        <v>1</v>
      </c>
      <c r="C1" s="4" t="s">
        <v>30</v>
      </c>
      <c r="D1" s="4" t="s">
        <v>31</v>
      </c>
      <c r="E1" s="2" t="s">
        <v>2</v>
      </c>
      <c r="F1" s="2" t="s">
        <v>3</v>
      </c>
      <c r="G1" s="4" t="s">
        <v>4</v>
      </c>
      <c r="H1" s="2" t="s">
        <v>5</v>
      </c>
      <c r="I1" s="2" t="s">
        <v>36</v>
      </c>
      <c r="J1" s="2" t="s">
        <v>6</v>
      </c>
      <c r="K1" s="4" t="s">
        <v>7</v>
      </c>
      <c r="L1" s="18" t="s">
        <v>170</v>
      </c>
    </row>
    <row r="2" spans="1:12" ht="136" x14ac:dyDescent="0.2">
      <c r="A2" s="5" t="s">
        <v>8</v>
      </c>
      <c r="B2" s="5" t="s">
        <v>23</v>
      </c>
      <c r="C2" s="5" t="s">
        <v>97</v>
      </c>
      <c r="D2" s="9" t="str">
        <f>HYPERLINK("https://amanxai.com/2021/10/17/iris-flower-classification-with-machine-learning/#google_vignette","Iris Flower Classification")</f>
        <v>Iris Flower Classification</v>
      </c>
      <c r="E2" s="16" t="s">
        <v>98</v>
      </c>
      <c r="F2" s="16" t="s">
        <v>99</v>
      </c>
      <c r="G2" s="12" t="s">
        <v>96</v>
      </c>
      <c r="H2" s="9" t="str">
        <f>HYPERLINK("https://huggingface.co/spaces/basaktamer/iris_flower_classification","Iris Flower Classification")</f>
        <v>Iris Flower Classification</v>
      </c>
      <c r="I2" s="9" t="str">
        <f>HYPERLINK("https://www.kaggle.com/code/basaktamer/iris-flower-classification","Iris Flower Classification")</f>
        <v>Iris Flower Classification</v>
      </c>
      <c r="J2" s="17" t="s">
        <v>144</v>
      </c>
      <c r="K2" s="15" t="s">
        <v>100</v>
      </c>
      <c r="L2" s="19" t="s">
        <v>171</v>
      </c>
    </row>
    <row r="3" spans="1:12" ht="121" customHeight="1" x14ac:dyDescent="0.2">
      <c r="A3" s="5" t="s">
        <v>9</v>
      </c>
      <c r="B3" s="5" t="s">
        <v>23</v>
      </c>
      <c r="C3" s="5" t="s">
        <v>118</v>
      </c>
      <c r="D3" s="9" t="str">
        <f>HYPERLINK("https://thecleverprogrammer.com/2022/12/05/credit-score-classification-with-machine-learning/","Credit Card Classification")</f>
        <v>Credit Card Classification</v>
      </c>
      <c r="E3" s="14" t="s">
        <v>120</v>
      </c>
      <c r="F3" s="14" t="s">
        <v>121</v>
      </c>
      <c r="G3" s="12" t="s">
        <v>119</v>
      </c>
      <c r="H3" s="9" t="str">
        <f>HYPERLINK("https://huggingface.co/spaces/basaktamer/credit_score_classification","Credit Score Classification")</f>
        <v>Credit Score Classification</v>
      </c>
      <c r="I3" s="9" t="str">
        <f>HYPERLINK("https://www.kaggle.com/code/basaktamer/credit-score-classification","Credit Score Classification")</f>
        <v>Credit Score Classification</v>
      </c>
      <c r="J3" s="17" t="s">
        <v>155</v>
      </c>
      <c r="K3" s="15" t="s">
        <v>122</v>
      </c>
      <c r="L3" s="19" t="s">
        <v>172</v>
      </c>
    </row>
    <row r="4" spans="1:12" ht="272" x14ac:dyDescent="0.2">
      <c r="A4" s="5" t="s">
        <v>138</v>
      </c>
      <c r="B4" s="5" t="s">
        <v>92</v>
      </c>
      <c r="C4" s="5" t="s">
        <v>90</v>
      </c>
      <c r="D4" s="9" t="str">
        <f>HYPERLINK("https://amanxai.com/2020/11/24/flower-recognition-with-python/","Flower Recognition")</f>
        <v>Flower Recognition</v>
      </c>
      <c r="E4" s="14" t="s">
        <v>93</v>
      </c>
      <c r="F4" s="15" t="s">
        <v>94</v>
      </c>
      <c r="G4" s="12" t="s">
        <v>91</v>
      </c>
      <c r="H4" s="9" t="str">
        <f>HYPERLINK("https://huggingface.co/spaces/basaktamer/flower_recognition","Flower Recognition")</f>
        <v>Flower Recognition</v>
      </c>
      <c r="I4" s="9" t="str">
        <f>HYPERLINK("https://www.kaggle.com/code/basaktamer/flower-classification-cnn-model-transfer-learning","Flower Classification CNN Model&amp;Transfer Learning")</f>
        <v>Flower Classification CNN Model&amp;Transfer Learning</v>
      </c>
      <c r="J4" s="17" t="s">
        <v>154</v>
      </c>
      <c r="K4" s="15" t="s">
        <v>95</v>
      </c>
      <c r="L4" s="19" t="s">
        <v>173</v>
      </c>
    </row>
    <row r="5" spans="1:12" ht="238" x14ac:dyDescent="0.2">
      <c r="A5" s="5" t="s">
        <v>10</v>
      </c>
      <c r="B5" s="5" t="s">
        <v>24</v>
      </c>
      <c r="C5" s="5" t="s">
        <v>75</v>
      </c>
      <c r="D5" s="9" t="str">
        <f>HYPERLINK("https://amanxai.com/2022/04/05/clustering-music-genres-with-machine-learning/","Clustering Music Genres")</f>
        <v>Clustering Music Genres</v>
      </c>
      <c r="E5" s="15" t="s">
        <v>80</v>
      </c>
      <c r="F5" s="15" t="s">
        <v>81</v>
      </c>
      <c r="G5" s="12" t="s">
        <v>79</v>
      </c>
      <c r="H5" s="9" t="str">
        <f>HYPERLINK("https://huggingface.co/spaces/basaktamer/Clustering_Music_Genres","Clustering Music Genres")</f>
        <v>Clustering Music Genres</v>
      </c>
      <c r="I5" s="5" t="s">
        <v>39</v>
      </c>
      <c r="J5" s="17" t="s">
        <v>153</v>
      </c>
      <c r="K5" s="15" t="s">
        <v>82</v>
      </c>
      <c r="L5" s="19" t="s">
        <v>174</v>
      </c>
    </row>
    <row r="6" spans="1:12" ht="164" customHeight="1" x14ac:dyDescent="0.2">
      <c r="A6" s="5" t="s">
        <v>11</v>
      </c>
      <c r="B6" s="5" t="s">
        <v>24</v>
      </c>
      <c r="C6" s="5" t="s">
        <v>76</v>
      </c>
      <c r="D6" s="9" t="str">
        <f>HYPERLINK("https://amanxai.com/2020/12/04/online-shopping-intention-analysis-with-python/","Online Shopping Intention Analysis with Clustering")</f>
        <v>Online Shopping Intention Analysis with Clustering</v>
      </c>
      <c r="E6" s="15" t="s">
        <v>87</v>
      </c>
      <c r="F6" s="15" t="s">
        <v>169</v>
      </c>
      <c r="G6" s="12" t="s">
        <v>77</v>
      </c>
      <c r="H6" s="9" t="str">
        <f>HYPERLINK("https://huggingface.co/spaces/basaktamer/Online_Shopping_Intention_Analysis_with_Clustering","Online Shopping Intention Analysis with Clustering")</f>
        <v>Online Shopping Intention Analysis with Clustering</v>
      </c>
      <c r="I6" s="9" t="str">
        <f>HYPERLINK("https://www.kaggle.com/code/basaktamer/online-shopping-intention-analysis-with-clustering","Online Shopping Intention Analysis with Clustering")</f>
        <v>Online Shopping Intention Analysis with Clustering</v>
      </c>
      <c r="J6" s="17" t="s">
        <v>152</v>
      </c>
      <c r="K6" s="15" t="s">
        <v>78</v>
      </c>
      <c r="L6" s="19" t="s">
        <v>175</v>
      </c>
    </row>
    <row r="7" spans="1:12" ht="136" x14ac:dyDescent="0.2">
      <c r="A7" s="5" t="s">
        <v>12</v>
      </c>
      <c r="B7" s="5" t="s">
        <v>24</v>
      </c>
      <c r="C7" s="5" t="s">
        <v>84</v>
      </c>
      <c r="D7" s="9" t="str">
        <f>HYPERLINK("https://amanxai.com/2022/10/03/credit-card-clustering-with-machine-learning/","Credit Card Clustering")</f>
        <v>Credit Card Clustering</v>
      </c>
      <c r="E7" s="14" t="s">
        <v>86</v>
      </c>
      <c r="F7" s="14" t="s">
        <v>88</v>
      </c>
      <c r="G7" s="12" t="s">
        <v>85</v>
      </c>
      <c r="H7" s="9" t="str">
        <f>HYPERLINK("https://huggingface.co/spaces/basaktamer/credit-card-clustering","Credit Card Clustering")</f>
        <v>Credit Card Clustering</v>
      </c>
      <c r="I7" s="9" t="str">
        <f>HYPERLINK("https://www.kaggle.com/code/basaktamer/credit-card-clustering","Credit Card Clustering")</f>
        <v>Credit Card Clustering</v>
      </c>
      <c r="J7" s="17" t="s">
        <v>151</v>
      </c>
      <c r="K7" s="15" t="s">
        <v>89</v>
      </c>
      <c r="L7" s="19" t="s">
        <v>176</v>
      </c>
    </row>
    <row r="8" spans="1:12" ht="136" x14ac:dyDescent="0.2">
      <c r="A8" s="5" t="s">
        <v>13</v>
      </c>
      <c r="B8" s="5" t="s">
        <v>29</v>
      </c>
      <c r="C8" s="5" t="s">
        <v>60</v>
      </c>
      <c r="D8" s="9" t="str">
        <f>HYPERLINK("https://amanxai.com/2020/05/08/data-science-project-on-time-series/","New York City Bicycle Counts Time Series")</f>
        <v>New York City Bicycle Counts Time Series</v>
      </c>
      <c r="E8" s="11" t="s">
        <v>63</v>
      </c>
      <c r="F8" s="11" t="s">
        <v>62</v>
      </c>
      <c r="G8" s="12" t="s">
        <v>59</v>
      </c>
      <c r="H8" s="9" t="str">
        <f>HYPERLINK("https://huggingface.co/spaces/basaktamer/NYC_Bicycle_Counts_Time_Series","NYC Bicycle Counts Time Series")</f>
        <v>NYC Bicycle Counts Time Series</v>
      </c>
      <c r="I8" s="5" t="s">
        <v>39</v>
      </c>
      <c r="J8" s="17" t="s">
        <v>150</v>
      </c>
      <c r="K8" s="15" t="s">
        <v>61</v>
      </c>
      <c r="L8" s="19" t="s">
        <v>177</v>
      </c>
    </row>
    <row r="9" spans="1:12" ht="119" x14ac:dyDescent="0.2">
      <c r="A9" s="5" t="s">
        <v>139</v>
      </c>
      <c r="B9" s="5" t="s">
        <v>29</v>
      </c>
      <c r="C9" s="5" t="s">
        <v>64</v>
      </c>
      <c r="D9" s="9" t="str">
        <f>HYPERLINK("https://amanxai.com/2021/03/27/tesla-stock-price-prediction-with-machine-learning/","Tesla Stock Price Prediction Time Series")</f>
        <v>Tesla Stock Price Prediction Time Series</v>
      </c>
      <c r="E9" s="14" t="s">
        <v>65</v>
      </c>
      <c r="F9" s="14" t="s">
        <v>66</v>
      </c>
      <c r="G9" s="8" t="s">
        <v>68</v>
      </c>
      <c r="H9" s="9" t="str">
        <f>HYPERLINK("https://huggingface.co/spaces/basaktamer/Tesla_Stock_Price_Prediction_Time_Series","Tesla Stock Price Prediction Time Series")</f>
        <v>Tesla Stock Price Prediction Time Series</v>
      </c>
      <c r="I9" s="5" t="s">
        <v>39</v>
      </c>
      <c r="J9" s="17" t="s">
        <v>149</v>
      </c>
      <c r="K9" s="15" t="s">
        <v>67</v>
      </c>
      <c r="L9" s="19" t="s">
        <v>178</v>
      </c>
    </row>
    <row r="10" spans="1:12" ht="119" x14ac:dyDescent="0.2">
      <c r="A10" s="5" t="s">
        <v>140</v>
      </c>
      <c r="B10" s="5" t="s">
        <v>29</v>
      </c>
      <c r="C10" s="5" t="s">
        <v>69</v>
      </c>
      <c r="D10" s="9" t="str">
        <f>HYPERLINK("https://amanxai.com/2020/05/08/birth-rate-analysis/","Birth Rate Analysis Time Series")</f>
        <v>Birth Rate Analysis Time Series</v>
      </c>
      <c r="E10" s="11" t="s">
        <v>72</v>
      </c>
      <c r="F10" s="11" t="s">
        <v>73</v>
      </c>
      <c r="G10" s="12" t="s">
        <v>70</v>
      </c>
      <c r="H10" s="9" t="str">
        <f>HYPERLINK("https://huggingface.co/spaces/basaktamer/Birth_Rates_Time_Series","Birth Rate Analysis Time Series")</f>
        <v>Birth Rate Analysis Time Series</v>
      </c>
      <c r="I10" s="3" t="s">
        <v>39</v>
      </c>
      <c r="J10" s="17" t="s">
        <v>148</v>
      </c>
      <c r="K10" s="15" t="s">
        <v>74</v>
      </c>
      <c r="L10" s="19" t="s">
        <v>179</v>
      </c>
    </row>
    <row r="11" spans="1:12" ht="51" x14ac:dyDescent="0.2">
      <c r="A11" s="5" t="s">
        <v>14</v>
      </c>
      <c r="B11" s="5" t="s">
        <v>25</v>
      </c>
      <c r="C11" s="5" t="s">
        <v>47</v>
      </c>
      <c r="D11" s="9" t="str">
        <f>HYPERLINK("https://amanxai.com/2022/02/01/waiter-tips-prediction-with-machine-learning/","Waiter Tips Data Visualization")</f>
        <v>Waiter Tips Data Visualization</v>
      </c>
      <c r="E11" s="15" t="s">
        <v>48</v>
      </c>
      <c r="F11" s="15" t="s">
        <v>49</v>
      </c>
      <c r="G11" s="12" t="s">
        <v>46</v>
      </c>
      <c r="H11" s="9" t="str">
        <f>HYPERLINK("https://huggingface.co/spaces/aibasak/Waiter_Tips_Data_Visualization","Waiter Tips Data Visualization")</f>
        <v>Waiter Tips Data Visualization</v>
      </c>
      <c r="I11" s="5" t="s">
        <v>39</v>
      </c>
      <c r="J11" s="17" t="s">
        <v>147</v>
      </c>
      <c r="K11" s="15" t="s">
        <v>50</v>
      </c>
      <c r="L11" s="19" t="s">
        <v>180</v>
      </c>
    </row>
    <row r="12" spans="1:12" ht="201" customHeight="1" x14ac:dyDescent="0.2">
      <c r="A12" s="5" t="s">
        <v>15</v>
      </c>
      <c r="B12" s="5" t="s">
        <v>25</v>
      </c>
      <c r="C12" s="5" t="s">
        <v>51</v>
      </c>
      <c r="D12" s="9" t="str">
        <f>HYPERLINK("https://amanxai.com/2021/04/21/uber-trips-analysis-using-python/","Uber Trips Data Visualization")</f>
        <v>Uber Trips Data Visualization</v>
      </c>
      <c r="E12" s="15" t="s">
        <v>167</v>
      </c>
      <c r="F12" s="15" t="s">
        <v>168</v>
      </c>
      <c r="G12" s="12" t="s">
        <v>52</v>
      </c>
      <c r="H12" s="9" t="str">
        <f>HYPERLINK("https://huggingface.co/spaces/aibasak/Uber_Trips_Data_Visualization","Uber Trips Data Visualization")</f>
        <v>Uber Trips Data Visualization</v>
      </c>
      <c r="I12" s="5" t="s">
        <v>39</v>
      </c>
      <c r="J12" s="17" t="s">
        <v>146</v>
      </c>
      <c r="K12" s="15" t="s">
        <v>53</v>
      </c>
      <c r="L12" s="19" t="s">
        <v>181</v>
      </c>
    </row>
    <row r="13" spans="1:12" ht="85" x14ac:dyDescent="0.2">
      <c r="A13" s="5" t="s">
        <v>16</v>
      </c>
      <c r="B13" s="5" t="s">
        <v>25</v>
      </c>
      <c r="C13" s="5" t="s">
        <v>54</v>
      </c>
      <c r="D13" s="9" t="str">
        <f>HYPERLINK("https://amanxai.com/2023/04/10/store-sales-and-profit-analysis-using-python/","Store Sales &amp; Profit Data Visualization")</f>
        <v>Store Sales &amp; Profit Data Visualization</v>
      </c>
      <c r="E13" s="15" t="s">
        <v>56</v>
      </c>
      <c r="F13" s="15" t="s">
        <v>57</v>
      </c>
      <c r="G13" s="12" t="s">
        <v>55</v>
      </c>
      <c r="H13" s="9" t="str">
        <f>HYPERLINK("https://huggingface.co/spaces/basaktamer/store_sales_profit_data_visualization","Store Sales and Profit Data Visualization")</f>
        <v>Store Sales and Profit Data Visualization</v>
      </c>
      <c r="I13" s="9" t="str">
        <f>HYPERLINK("https://www.kaggle.com/code/basaktamer/store-sales-and-profit-data-visualization","Store Sales and Profit Data Visualization")</f>
        <v>Store Sales and Profit Data Visualization</v>
      </c>
      <c r="J13" s="17" t="s">
        <v>145</v>
      </c>
      <c r="K13" s="15" t="s">
        <v>58</v>
      </c>
      <c r="L13" s="19" t="s">
        <v>182</v>
      </c>
    </row>
    <row r="14" spans="1:12" ht="119" x14ac:dyDescent="0.2">
      <c r="A14" s="5" t="s">
        <v>141</v>
      </c>
      <c r="B14" s="5" t="s">
        <v>28</v>
      </c>
      <c r="C14" s="5" t="s">
        <v>116</v>
      </c>
      <c r="D14" s="9" t="str">
        <f>HYPERLINK("https://thecleverprogrammer.com/2023/01/02/food-delivery-time-prediction-using-python/","Food Delivery Time Prediction")</f>
        <v>Food Delivery Time Prediction</v>
      </c>
      <c r="E14" s="14" t="s">
        <v>131</v>
      </c>
      <c r="F14" s="16" t="s">
        <v>132</v>
      </c>
      <c r="G14" s="12" t="s">
        <v>117</v>
      </c>
      <c r="H14" s="9" t="str">
        <f>HYPERLINK("https://huggingface.co/spaces/basaktamer/food_delivery_time_prediction","Food Delivery Time Prediction")</f>
        <v>Food Delivery Time Prediction</v>
      </c>
      <c r="I14" s="9" t="str">
        <f>HYPERLINK("https://www.kaggle.com/code/basaktamer/food-delivery-time-prediction","Food Delivery Time Prediction")</f>
        <v>Food Delivery Time Prediction</v>
      </c>
      <c r="J14" s="17" t="s">
        <v>156</v>
      </c>
      <c r="K14" s="15" t="s">
        <v>133</v>
      </c>
      <c r="L14" s="19" t="s">
        <v>183</v>
      </c>
    </row>
    <row r="15" spans="1:12" ht="119" x14ac:dyDescent="0.2">
      <c r="A15" s="5" t="s">
        <v>142</v>
      </c>
      <c r="B15" s="5" t="s">
        <v>28</v>
      </c>
      <c r="C15" s="5" t="s">
        <v>123</v>
      </c>
      <c r="D15" s="9" t="str">
        <f>HYPERLINK("https://thecleverprogrammer.com/2021/10/26/health-insurance-premium-prediction-with-machine-learning/","Health Insurance Premium Prediction")</f>
        <v>Health Insurance Premium Prediction</v>
      </c>
      <c r="E15" s="14" t="s">
        <v>135</v>
      </c>
      <c r="F15" s="16" t="s">
        <v>136</v>
      </c>
      <c r="G15" s="12" t="s">
        <v>134</v>
      </c>
      <c r="H15" s="9" t="str">
        <f>HYPERLINK("https://huggingface.co/spaces/basaktamer/medical_insurance_cost_prediction","Medical Insurance Cost Prediction")</f>
        <v>Medical Insurance Cost Prediction</v>
      </c>
      <c r="I15" s="9" t="str">
        <f>HYPERLINK("https://www.kaggle.com/code/basaktamer/medical-insurance-cost-prediction","Medical Insurance Cost Prediction")</f>
        <v>Medical Insurance Cost Prediction</v>
      </c>
      <c r="J15" s="17" t="s">
        <v>157</v>
      </c>
      <c r="K15" s="15" t="s">
        <v>137</v>
      </c>
      <c r="L15" s="19" t="s">
        <v>184</v>
      </c>
    </row>
    <row r="16" spans="1:12" ht="85" x14ac:dyDescent="0.2">
      <c r="A16" s="5" t="s">
        <v>143</v>
      </c>
      <c r="B16" s="5" t="s">
        <v>28</v>
      </c>
      <c r="C16" s="5" t="s">
        <v>126</v>
      </c>
      <c r="D16" s="9" t="str">
        <f>HYPERLINK("https://thecleverprogrammer.com/2021/01/20/diamond-price-prediction-with-machine-learning/","Diamond Price Prediction")</f>
        <v>Diamond Price Prediction</v>
      </c>
      <c r="E16" s="11" t="s">
        <v>128</v>
      </c>
      <c r="F16" s="11" t="s">
        <v>129</v>
      </c>
      <c r="G16" s="12" t="s">
        <v>127</v>
      </c>
      <c r="H16" s="9" t="str">
        <f>HYPERLINK("https://huggingface.co/spaces/basaktamer/diamond_price_prediction","Diamond Price Prediction")</f>
        <v>Diamond Price Prediction</v>
      </c>
      <c r="I16" s="9" t="str">
        <f>HYPERLINK("https://www.kaggle.com/code/basaktamer/diamond-price-prediction","Diamond Price Prediction")</f>
        <v>Diamond Price Prediction</v>
      </c>
      <c r="J16" s="17" t="s">
        <v>158</v>
      </c>
      <c r="K16" s="15" t="s">
        <v>130</v>
      </c>
      <c r="L16" s="19" t="s">
        <v>185</v>
      </c>
    </row>
    <row r="17" spans="1:12" ht="119" x14ac:dyDescent="0.2">
      <c r="A17" s="5" t="s">
        <v>17</v>
      </c>
      <c r="B17" s="5" t="s">
        <v>106</v>
      </c>
      <c r="C17" s="5" t="s">
        <v>101</v>
      </c>
      <c r="D17" s="9" t="str">
        <f>HYPERLINK("https://amanxai.com/2021/11/24/add-labels-to-a-dataset-for-sentiment-analysis/#google_vignette","Trip Advisor Hotel Reviews")</f>
        <v>Trip Advisor Hotel Reviews</v>
      </c>
      <c r="E17" s="15" t="s">
        <v>103</v>
      </c>
      <c r="F17" s="15" t="s">
        <v>104</v>
      </c>
      <c r="G17" s="12" t="s">
        <v>102</v>
      </c>
      <c r="H17" s="9" t="str">
        <f>HYPERLINK("https://huggingface.co/spaces/basaktamer/trip_advisor_sentiment_analysis","Trip Advisor Sentiment Analysis")</f>
        <v>Trip Advisor Sentiment Analysis</v>
      </c>
      <c r="I17" s="9" t="str">
        <f>HYPERLINK("https://www.kaggle.com/code/basaktamer/trip-advisor-sentiment-analysis-ann-deep-learning","Trip Advisor Sentiment Analysis (ANN &amp; Deep Learning)")</f>
        <v>Trip Advisor Sentiment Analysis (ANN &amp; Deep Learning)</v>
      </c>
      <c r="J17" s="17" t="s">
        <v>159</v>
      </c>
      <c r="K17" s="15" t="s">
        <v>105</v>
      </c>
      <c r="L17" s="19" t="s">
        <v>186</v>
      </c>
    </row>
    <row r="18" spans="1:12" ht="153" x14ac:dyDescent="0.2">
      <c r="A18" s="5" t="s">
        <v>18</v>
      </c>
      <c r="B18" s="5" t="s">
        <v>26</v>
      </c>
      <c r="C18" s="5" t="s">
        <v>107</v>
      </c>
      <c r="D18" s="9" t="str">
        <f>HYPERLINK("https://amanxai.com/2020/05/25/movie-reviews-sentiment-analysis-binary-classification-with-machine-learning/","IMDB Movie Reviews")</f>
        <v>IMDB Movie Reviews</v>
      </c>
      <c r="E18" s="15" t="s">
        <v>113</v>
      </c>
      <c r="F18" s="15" t="s">
        <v>114</v>
      </c>
      <c r="G18" s="12" t="s">
        <v>108</v>
      </c>
      <c r="H18" s="9" t="str">
        <f>HYPERLINK("https://huggingface.co/spaces/basaktamer/imdb_movie_review","IMDB Movie Review")</f>
        <v>IMDB Movie Review</v>
      </c>
      <c r="I18" s="9" t="str">
        <f>HYPERLINK("https://www.kaggle.com/code/basaktamer/imdb-sentiment-analysis","IMDB Sentiment Analysis")</f>
        <v>IMDB Sentiment Analysis</v>
      </c>
      <c r="J18" s="17" t="s">
        <v>160</v>
      </c>
      <c r="K18" s="15" t="s">
        <v>115</v>
      </c>
      <c r="L18" s="19" t="s">
        <v>187</v>
      </c>
    </row>
    <row r="19" spans="1:12" ht="409.6" x14ac:dyDescent="0.2">
      <c r="A19" s="5" t="s">
        <v>19</v>
      </c>
      <c r="B19" s="5" t="s">
        <v>26</v>
      </c>
      <c r="C19" s="5" t="s">
        <v>109</v>
      </c>
      <c r="D19" s="9" t="str">
        <f>HYPERLINK("https://amanxai.com/2021/06/12/amazon-alexa-reviews-sentiment-analysis-using-python/","Amazon Alexa Reviews")</f>
        <v>Amazon Alexa Reviews</v>
      </c>
      <c r="E19" s="15" t="s">
        <v>166</v>
      </c>
      <c r="F19" s="15" t="s">
        <v>111</v>
      </c>
      <c r="G19" s="12" t="s">
        <v>110</v>
      </c>
      <c r="H19" s="9" t="str">
        <f>HYPERLINK("https://huggingface.co/spaces/basaktamer/amazon_alexa_customer_sentiment","Amazon Alexa Customer Sentiment")</f>
        <v>Amazon Alexa Customer Sentiment</v>
      </c>
      <c r="I19" s="9" t="str">
        <f>HYPERLINK("https://www.kaggle.com/code/basaktamer/amazon-alexa-customer-sentiment-deep-learning","Amazon Alexa Customer Sentiment")</f>
        <v>Amazon Alexa Customer Sentiment</v>
      </c>
      <c r="J19" s="17" t="s">
        <v>161</v>
      </c>
      <c r="K19" s="15" t="s">
        <v>112</v>
      </c>
      <c r="L19" s="19" t="s">
        <v>188</v>
      </c>
    </row>
    <row r="20" spans="1:12" s="10" customFormat="1" ht="180" customHeight="1" x14ac:dyDescent="0.2">
      <c r="A20" s="5" t="s">
        <v>20</v>
      </c>
      <c r="B20" s="5" t="s">
        <v>27</v>
      </c>
      <c r="C20" s="5" t="s">
        <v>32</v>
      </c>
      <c r="D20" s="9" t="str">
        <f>HYPERLINK("https://amanxai.com/2022/07/05/netflix-recommendation-system-using-python/","Netflix Rec Sys")</f>
        <v>Netflix Rec Sys</v>
      </c>
      <c r="E20" s="15" t="s">
        <v>35</v>
      </c>
      <c r="F20" s="15" t="s">
        <v>34</v>
      </c>
      <c r="G20" s="13" t="s">
        <v>43</v>
      </c>
      <c r="H20" s="9" t="str">
        <f>HYPERLINK("https://huggingface.co/spaces/basaktamer/Netflix_Recommender/","Netflix Recommender")</f>
        <v>Netflix Recommender</v>
      </c>
      <c r="I20" s="9" t="str">
        <f>HYPERLINK("https://www.kaggle.com/code/basaktamer/netflix-recommendation-system/","Netflix Recommender System")</f>
        <v>Netflix Recommender System</v>
      </c>
      <c r="J20" s="17" t="s">
        <v>162</v>
      </c>
      <c r="K20" s="15" t="s">
        <v>33</v>
      </c>
      <c r="L20" s="19" t="s">
        <v>189</v>
      </c>
    </row>
    <row r="21" spans="1:12" s="10" customFormat="1" ht="220" customHeight="1" x14ac:dyDescent="0.2">
      <c r="A21" s="5" t="s">
        <v>21</v>
      </c>
      <c r="B21" s="5" t="s">
        <v>27</v>
      </c>
      <c r="C21" s="5" t="s">
        <v>37</v>
      </c>
      <c r="D21" s="9" t="str">
        <f>HYPERLINK("https://amanxai.com/2021/01/17/book-recommendation-system/","Book Rec Sys")</f>
        <v>Book Rec Sys</v>
      </c>
      <c r="E21" s="15" t="s">
        <v>40</v>
      </c>
      <c r="F21" s="15" t="s">
        <v>41</v>
      </c>
      <c r="G21" s="12" t="s">
        <v>38</v>
      </c>
      <c r="H21" s="9" t="str">
        <f>HYPERLINK("https://huggingface.co/spaces/basaktamer/Book_Recommender","Book Recommender")</f>
        <v>Book Recommender</v>
      </c>
      <c r="I21" s="5" t="s">
        <v>39</v>
      </c>
      <c r="J21" s="17" t="s">
        <v>163</v>
      </c>
      <c r="K21" s="15" t="s">
        <v>42</v>
      </c>
      <c r="L21" s="19" t="s">
        <v>190</v>
      </c>
    </row>
    <row r="22" spans="1:12" ht="136" x14ac:dyDescent="0.2">
      <c r="A22" s="5" t="s">
        <v>22</v>
      </c>
      <c r="B22" s="5" t="s">
        <v>27</v>
      </c>
      <c r="C22" s="5" t="s">
        <v>44</v>
      </c>
      <c r="D22" s="9" t="str">
        <f>HYPERLINK("https://amanxai.com/2020/05/20/data-science-project-movie-recommendation-system/","Movie Rec Sys")</f>
        <v>Movie Rec Sys</v>
      </c>
      <c r="E22" s="15" t="s">
        <v>124</v>
      </c>
      <c r="F22" s="15" t="s">
        <v>125</v>
      </c>
      <c r="G22" s="12" t="s">
        <v>45</v>
      </c>
      <c r="H22" s="9" t="str">
        <f>HYPERLINK("https://huggingface.co/spaces/basaktamer/Movie_Recommender","Movie Recommender")</f>
        <v>Movie Recommender</v>
      </c>
      <c r="I22" s="5" t="s">
        <v>39</v>
      </c>
      <c r="J22" s="17" t="s">
        <v>164</v>
      </c>
      <c r="K22" s="15" t="s">
        <v>165</v>
      </c>
      <c r="L22" s="19" t="s">
        <v>191</v>
      </c>
    </row>
    <row r="24" spans="1:12" x14ac:dyDescent="0.2">
      <c r="A24" s="6"/>
      <c r="B24" s="6"/>
      <c r="C24" s="6"/>
      <c r="D24" s="6"/>
    </row>
    <row r="25" spans="1:12" x14ac:dyDescent="0.2">
      <c r="A25" s="6"/>
      <c r="B25" s="6"/>
      <c r="C25" s="6"/>
      <c r="D25" s="6"/>
    </row>
    <row r="26" spans="1:12" x14ac:dyDescent="0.2">
      <c r="A26" s="6"/>
      <c r="B26" s="6"/>
      <c r="C26" s="6"/>
      <c r="D26" s="6"/>
      <c r="G26" s="10" t="s">
        <v>83</v>
      </c>
    </row>
    <row r="27" spans="1:12" x14ac:dyDescent="0.2">
      <c r="A27" s="6"/>
      <c r="B27" s="6"/>
      <c r="C27" s="6"/>
      <c r="D27" s="6"/>
    </row>
    <row r="28" spans="1:12" x14ac:dyDescent="0.2">
      <c r="A28" s="6"/>
      <c r="B28" s="6"/>
      <c r="C28" s="6"/>
      <c r="D28" s="6"/>
      <c r="G28" s="10" t="s">
        <v>71</v>
      </c>
    </row>
    <row r="29" spans="1:12" x14ac:dyDescent="0.2">
      <c r="A29" s="6"/>
      <c r="B29" s="6"/>
      <c r="C29" s="6"/>
      <c r="D29" s="6"/>
    </row>
    <row r="30" spans="1:12" x14ac:dyDescent="0.2">
      <c r="A30" s="6"/>
      <c r="B30" s="6"/>
      <c r="C30" s="6"/>
      <c r="D30" s="6"/>
    </row>
    <row r="31" spans="1:12" x14ac:dyDescent="0.2">
      <c r="A31" s="6"/>
      <c r="B31" s="6"/>
      <c r="C31" s="6"/>
      <c r="D31" s="6"/>
    </row>
    <row r="32" spans="1:12" x14ac:dyDescent="0.2">
      <c r="A32" s="6"/>
      <c r="B32" s="6"/>
      <c r="C32" s="6"/>
      <c r="D32" s="6"/>
    </row>
    <row r="33" spans="1:4" x14ac:dyDescent="0.2">
      <c r="A33" s="6"/>
      <c r="B33" s="6"/>
      <c r="C33" s="6"/>
      <c r="D33" s="6"/>
    </row>
  </sheetData>
  <phoneticPr fontId="3" type="noConversion"/>
  <hyperlinks>
    <hyperlink ref="G21" r:id="rId1" xr:uid="{674C7ADB-0CF8-3E41-AA17-25F5AA4514E3}"/>
    <hyperlink ref="G20" r:id="rId2" xr:uid="{874EF15C-DB4D-3846-9E9C-1F6250B45A10}"/>
    <hyperlink ref="G22" r:id="rId3" xr:uid="{E606B36F-601E-484D-9D60-C044F85B7636}"/>
    <hyperlink ref="G11" r:id="rId4" xr:uid="{1B917A36-91E5-9D4A-B7A0-C1F3B146B6D2}"/>
    <hyperlink ref="G12" r:id="rId5" xr:uid="{36B3F266-974E-7D47-8CC8-B94E24DBA1A8}"/>
    <hyperlink ref="G13" r:id="rId6" xr:uid="{2EE0F00B-5E1F-5C48-A8BF-58021842EA3F}"/>
    <hyperlink ref="I13" r:id="rId7" display="https://www.kaggle.com/code/basaktamer/store-sales-and-profit-data-visualization" xr:uid="{EC46D5C4-836E-E14C-9DAA-8C973A7DB08D}"/>
    <hyperlink ref="G6" r:id="rId8" xr:uid="{583FDF1D-789F-924C-AAB3-EA33C8B75F66}"/>
    <hyperlink ref="I6" r:id="rId9" display="https://www.kaggle.com/code/basaktamer/online-shopping-intention-analysis-with-clustering" xr:uid="{925B16BC-5092-4E46-94D7-17ACEA52CECC}"/>
    <hyperlink ref="G5" r:id="rId10" xr:uid="{C3C5DFBC-03BD-AE4B-AA59-3C89269C1698}"/>
    <hyperlink ref="G7" r:id="rId11" xr:uid="{0492EAE1-BEA8-B24C-AEE5-19B24C4FAF9D}"/>
    <hyperlink ref="G2" r:id="rId12" xr:uid="{B6097B6F-DE30-964C-8D06-6F1EE2797BA8}"/>
    <hyperlink ref="D17" r:id="rId13" location="google_vignette" display="https://amanxai.com/2021/11/24/add-labels-to-a-dataset-for-sentiment-analysis/#google_vignette" xr:uid="{ACBBFD5F-F62F-F446-BDBA-61953F8A4AAC}"/>
    <hyperlink ref="G17" r:id="rId14" xr:uid="{1101759D-07EE-3347-9E0E-B4923C085466}"/>
    <hyperlink ref="H17" r:id="rId15" display="https://huggingface.co/spaces/basaktamer/trip_advisor_sentiment_analysis" xr:uid="{A3EC31D6-6863-5240-ADBC-01231E0F4F0D}"/>
    <hyperlink ref="G18" r:id="rId16" xr:uid="{2B5B310E-7FAC-7E47-A68F-AB9CE3597101}"/>
    <hyperlink ref="G19" r:id="rId17" xr:uid="{3DCCC214-2F34-6E4B-BF4B-917469901665}"/>
    <hyperlink ref="G3" r:id="rId18" xr:uid="{14086260-281C-0342-AFBD-104ECC49DDD6}"/>
    <hyperlink ref="G4" r:id="rId19" xr:uid="{08B6E599-AA01-1946-8351-024C3C0858E6}"/>
    <hyperlink ref="G8" r:id="rId20" xr:uid="{7764F2A0-3A92-5A46-BD12-2205661E998E}"/>
    <hyperlink ref="G10" r:id="rId21" xr:uid="{6DD3569F-F439-0F46-AE28-3700140662C5}"/>
    <hyperlink ref="G14" r:id="rId22" xr:uid="{2D3AEF7B-395D-1A40-9D8E-3B66CAA3F95E}"/>
    <hyperlink ref="G16" r:id="rId23" xr:uid="{E0477C4D-7210-8C46-9835-95804B91B8A5}"/>
    <hyperlink ref="G15" r:id="rId24" xr:uid="{D3406BBB-983E-6149-B603-3A634FF413B1}"/>
    <hyperlink ref="J2" r:id="rId25" xr:uid="{C1DA2024-1199-394C-8F6B-EBB6AA64EE31}"/>
    <hyperlink ref="J13" r:id="rId26" xr:uid="{0DD0274F-7D22-4341-8A93-33B454E2923B}"/>
    <hyperlink ref="J12" r:id="rId27" xr:uid="{CB8D1EBC-5454-9248-A8C4-77DB95479604}"/>
    <hyperlink ref="J11" r:id="rId28" xr:uid="{71163A6B-72B4-144A-8CDD-8F53F8831C7F}"/>
    <hyperlink ref="J10" r:id="rId29" xr:uid="{A7B21061-7E23-834F-8545-9216E1206695}"/>
    <hyperlink ref="J9" r:id="rId30" xr:uid="{745D7308-83C0-9445-AB8D-3AE6020A52BB}"/>
    <hyperlink ref="J8" r:id="rId31" xr:uid="{26E96DE6-A608-F24E-8357-8BCF203EDAC1}"/>
    <hyperlink ref="J7" r:id="rId32" xr:uid="{14D1E5B9-F852-9445-9E3C-AE3C83CC0E99}"/>
    <hyperlink ref="J6" r:id="rId33" xr:uid="{B3AD3314-7AEB-AD44-9E70-3D245C117484}"/>
    <hyperlink ref="J5" r:id="rId34" xr:uid="{9BA36084-12A0-EB4D-B1F4-2BF65F1D6C8F}"/>
    <hyperlink ref="J4" r:id="rId35" xr:uid="{5398C872-B2FD-E643-AC71-B3C202D38373}"/>
    <hyperlink ref="J3" r:id="rId36" xr:uid="{7C193D4F-FA90-B948-A29D-B223974D02F6}"/>
    <hyperlink ref="J14" r:id="rId37" xr:uid="{AC63DAE8-3571-6649-A10E-4B70D72BDCD0}"/>
    <hyperlink ref="J15" r:id="rId38" xr:uid="{A846221E-CBBB-8A45-97C2-7D0944E39411}"/>
    <hyperlink ref="J16" r:id="rId39" xr:uid="{297CA831-9354-1B4A-AD1D-A6C90EE4579F}"/>
    <hyperlink ref="J17" r:id="rId40" xr:uid="{AD148677-6F46-E449-90BF-78E027B929CA}"/>
    <hyperlink ref="J18" r:id="rId41" xr:uid="{AC162B65-8986-DC47-8E0E-32CB5D36047A}"/>
    <hyperlink ref="J19" r:id="rId42" xr:uid="{CDE8AA2E-3584-FB45-B2AA-94ED21B8EFEC}"/>
    <hyperlink ref="J20" r:id="rId43" xr:uid="{3E51B29D-C980-764C-88D4-B733E9A82F12}"/>
    <hyperlink ref="J21" r:id="rId44" xr:uid="{A7A122E0-F9E4-4F4E-9DB7-3EBF44579614}"/>
    <hyperlink ref="J22" r:id="rId45" xr:uid="{BFB3E6D4-0314-5142-B030-E025E703F392}"/>
    <hyperlink ref="L2" r:id="rId46" xr:uid="{B8AFCD66-DB18-0741-8838-1502542FB043}"/>
    <hyperlink ref="L3" r:id="rId47" xr:uid="{0D9D6141-A3ED-BE41-A3DA-C1C09200CA48}"/>
    <hyperlink ref="L4" r:id="rId48" xr:uid="{60E6AEB1-160F-0F4E-8F95-3F22D2E3B912}"/>
    <hyperlink ref="L5" r:id="rId49" xr:uid="{157327A4-B1D9-0948-9F69-7BC92ACCD98F}"/>
    <hyperlink ref="L6" r:id="rId50" xr:uid="{DA13DA0B-EB23-5643-BA94-F9832DFD96B4}"/>
    <hyperlink ref="L7" r:id="rId51" xr:uid="{1155603F-AE19-584F-A2BE-4DDF338C646E}"/>
    <hyperlink ref="L8" r:id="rId52" xr:uid="{2DEE1845-502E-734E-98DF-3AEE10116A68}"/>
    <hyperlink ref="L9" r:id="rId53" xr:uid="{B1C4B14D-1A54-2040-89A7-3DDE01C8D40C}"/>
    <hyperlink ref="L10" r:id="rId54" xr:uid="{AB27387C-A698-DE40-BA1E-65E25F0A39EA}"/>
    <hyperlink ref="L11" r:id="rId55" xr:uid="{53F2B587-68B9-B140-A362-D418E0F3D0EA}"/>
    <hyperlink ref="L12" r:id="rId56" xr:uid="{27F4360C-46AE-594B-8EDE-9A6B4965B423}"/>
    <hyperlink ref="L13" r:id="rId57" xr:uid="{F327C2B7-205A-4D4A-8627-F49C634B00B7}"/>
    <hyperlink ref="L14" r:id="rId58" xr:uid="{B3402886-A3F5-2940-B9DB-F9EF84F50267}"/>
    <hyperlink ref="L15" r:id="rId59" xr:uid="{ABFBC42C-9822-434A-A895-0231C7813362}"/>
    <hyperlink ref="L16" r:id="rId60" xr:uid="{D662D4FF-976C-2F4C-A555-E411211EDB23}"/>
    <hyperlink ref="L17" r:id="rId61" xr:uid="{D15E328E-9430-6043-A064-40BBB5A7CCBD}"/>
    <hyperlink ref="L18" r:id="rId62" xr:uid="{78D18F2C-F5A9-0946-82DF-E2B82F873D33}"/>
    <hyperlink ref="L20" r:id="rId63" xr:uid="{40E86FC3-7857-F347-89A5-21160BFAF3EA}"/>
    <hyperlink ref="L21" r:id="rId64" xr:uid="{83ECE286-88DD-2C41-82C5-B1DA720A9B54}"/>
    <hyperlink ref="L22" r:id="rId65" xr:uid="{621974C5-29A4-6B42-B175-CCD4F8CCE7B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2026-04-07T08:51:18Z</dcterms:created>
  <dcterms:modified xsi:type="dcterms:W3CDTF">2026-05-17T11:38:35Z</dcterms:modified>
</cp:coreProperties>
</file>